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jasa\Downloads\"/>
    </mc:Choice>
  </mc:AlternateContent>
  <xr:revisionPtr revIDLastSave="0" documentId="8_{AE78A3F3-7104-47C2-B694-DF1B1EA1A4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ipment Data" sheetId="1" r:id="rId1"/>
    <sheet name="Delivery Analysis" sheetId="2" r:id="rId2"/>
    <sheet name="Route Summary" sheetId="3" r:id="rId3"/>
    <sheet name="KPI 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6" i="4"/>
  <c r="B5" i="4"/>
  <c r="B4" i="4"/>
  <c r="B3" i="4"/>
  <c r="E17" i="3"/>
  <c r="D17" i="3"/>
  <c r="F17" i="3" s="1"/>
  <c r="C17" i="3"/>
  <c r="B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B14" i="4" s="1"/>
  <c r="I18" i="2"/>
  <c r="H18" i="2"/>
  <c r="F18" i="2"/>
  <c r="E18" i="2"/>
  <c r="D18" i="2"/>
  <c r="C18" i="2"/>
  <c r="G18" i="2" s="1"/>
  <c r="B18" i="2"/>
  <c r="A18" i="2"/>
  <c r="I17" i="2"/>
  <c r="H17" i="2"/>
  <c r="G17" i="2"/>
  <c r="F17" i="2"/>
  <c r="E17" i="2"/>
  <c r="D17" i="2"/>
  <c r="C17" i="2"/>
  <c r="B17" i="2"/>
  <c r="F16" i="2"/>
  <c r="E16" i="2"/>
  <c r="H16" i="2" s="1"/>
  <c r="D16" i="2"/>
  <c r="C16" i="2"/>
  <c r="I16" i="2" s="1"/>
  <c r="B16" i="2"/>
  <c r="F15" i="2"/>
  <c r="E15" i="2"/>
  <c r="H15" i="2" s="1"/>
  <c r="D15" i="2"/>
  <c r="C15" i="2"/>
  <c r="I15" i="2" s="1"/>
  <c r="B15" i="2"/>
  <c r="A15" i="2"/>
  <c r="I14" i="2"/>
  <c r="H14" i="2"/>
  <c r="F14" i="2"/>
  <c r="E14" i="2"/>
  <c r="D14" i="2"/>
  <c r="C14" i="2"/>
  <c r="G14" i="2" s="1"/>
  <c r="B14" i="2"/>
  <c r="I13" i="2"/>
  <c r="H13" i="2"/>
  <c r="G13" i="2"/>
  <c r="F13" i="2"/>
  <c r="E13" i="2"/>
  <c r="D13" i="2"/>
  <c r="C13" i="2"/>
  <c r="B13" i="2"/>
  <c r="F12" i="2"/>
  <c r="E12" i="2"/>
  <c r="H12" i="2" s="1"/>
  <c r="D12" i="2"/>
  <c r="C12" i="2"/>
  <c r="I12" i="2" s="1"/>
  <c r="B12" i="2"/>
  <c r="F11" i="2"/>
  <c r="E11" i="2"/>
  <c r="H11" i="2" s="1"/>
  <c r="D11" i="2"/>
  <c r="C11" i="2"/>
  <c r="I11" i="2" s="1"/>
  <c r="B11" i="2"/>
  <c r="I10" i="2"/>
  <c r="H10" i="2"/>
  <c r="F10" i="2"/>
  <c r="E10" i="2"/>
  <c r="D10" i="2"/>
  <c r="C10" i="2"/>
  <c r="G10" i="2" s="1"/>
  <c r="B10" i="2"/>
  <c r="I9" i="2"/>
  <c r="H9" i="2"/>
  <c r="G9" i="2"/>
  <c r="F9" i="2"/>
  <c r="E9" i="2"/>
  <c r="D9" i="2"/>
  <c r="C9" i="2"/>
  <c r="B9" i="2"/>
  <c r="F8" i="2"/>
  <c r="E8" i="2"/>
  <c r="H8" i="2" s="1"/>
  <c r="D8" i="2"/>
  <c r="C8" i="2"/>
  <c r="I8" i="2" s="1"/>
  <c r="B8" i="2"/>
  <c r="F7" i="2"/>
  <c r="E7" i="2"/>
  <c r="H7" i="2" s="1"/>
  <c r="D7" i="2"/>
  <c r="C7" i="2"/>
  <c r="I7" i="2" s="1"/>
  <c r="B7" i="2"/>
  <c r="A7" i="2"/>
  <c r="I6" i="2"/>
  <c r="H6" i="2"/>
  <c r="F6" i="2"/>
  <c r="E6" i="2"/>
  <c r="D6" i="2"/>
  <c r="C6" i="2"/>
  <c r="G6" i="2" s="1"/>
  <c r="B6" i="2"/>
  <c r="A6" i="2"/>
  <c r="I5" i="2"/>
  <c r="H5" i="2"/>
  <c r="G5" i="2"/>
  <c r="F5" i="2"/>
  <c r="E5" i="2"/>
  <c r="D5" i="2"/>
  <c r="C5" i="2"/>
  <c r="B5" i="2"/>
  <c r="F4" i="2"/>
  <c r="E4" i="2"/>
  <c r="H4" i="2" s="1"/>
  <c r="D4" i="2"/>
  <c r="D19" i="2" s="1"/>
  <c r="C4" i="2"/>
  <c r="I4" i="2" s="1"/>
  <c r="B4" i="2"/>
  <c r="F19" i="1"/>
  <c r="H18" i="1"/>
  <c r="H17" i="1"/>
  <c r="A17" i="2" s="1"/>
  <c r="H16" i="1"/>
  <c r="A16" i="2" s="1"/>
  <c r="H15" i="1"/>
  <c r="H14" i="1"/>
  <c r="A14" i="2" s="1"/>
  <c r="H13" i="1"/>
  <c r="A13" i="2" s="1"/>
  <c r="H12" i="1"/>
  <c r="A12" i="2" s="1"/>
  <c r="H11" i="1"/>
  <c r="A11" i="2" s="1"/>
  <c r="H10" i="1"/>
  <c r="A10" i="2" s="1"/>
  <c r="H9" i="1"/>
  <c r="A9" i="2" s="1"/>
  <c r="H8" i="1"/>
  <c r="A8" i="2" s="1"/>
  <c r="H7" i="1"/>
  <c r="H6" i="1"/>
  <c r="H5" i="1"/>
  <c r="A5" i="2" s="1"/>
  <c r="H4" i="1"/>
  <c r="A4" i="2" s="1"/>
  <c r="E19" i="2" l="1"/>
  <c r="G7" i="2"/>
  <c r="G11" i="2"/>
  <c r="G15" i="2"/>
  <c r="G4" i="2"/>
  <c r="G8" i="2"/>
  <c r="G12" i="2"/>
  <c r="G16" i="2"/>
</calcChain>
</file>

<file path=xl/sharedStrings.xml><?xml version="1.0" encoding="utf-8"?>
<sst xmlns="http://schemas.openxmlformats.org/spreadsheetml/2006/main" count="166" uniqueCount="123">
  <si>
    <t>Delivery Analysis – Shipment Tracking Data</t>
  </si>
  <si>
    <t>Source data for all delivery KPIs  |  Status: Delivered = On-Time  |  Delayed = Late  |  In Transit = Pending</t>
  </si>
  <si>
    <t>Shipment
ID</t>
  </si>
  <si>
    <t>Product</t>
  </si>
  <si>
    <t>Origin</t>
  </si>
  <si>
    <t>Destination</t>
  </si>
  <si>
    <t>Quantity</t>
  </si>
  <si>
    <t>Shipment
Cost (€)</t>
  </si>
  <si>
    <t>Delivery
Status</t>
  </si>
  <si>
    <t>Route
(Origin→Dest)</t>
  </si>
  <si>
    <t>Days
Delayed</t>
  </si>
  <si>
    <t>S001</t>
  </si>
  <si>
    <t>Pallets</t>
  </si>
  <si>
    <t>Berlin</t>
  </si>
  <si>
    <t>Hamburg</t>
  </si>
  <si>
    <t>Delivered</t>
  </si>
  <si>
    <t>S002</t>
  </si>
  <si>
    <t>Packaging Boxes</t>
  </si>
  <si>
    <t>Munich</t>
  </si>
  <si>
    <t>In Transit</t>
  </si>
  <si>
    <t>S003</t>
  </si>
  <si>
    <t>Barcode Scanner</t>
  </si>
  <si>
    <t>Frankfurt</t>
  </si>
  <si>
    <t>S004</t>
  </si>
  <si>
    <t>Label Printer</t>
  </si>
  <si>
    <t>Cologne</t>
  </si>
  <si>
    <t>Delayed</t>
  </si>
  <si>
    <t>S005</t>
  </si>
  <si>
    <t>Forklift</t>
  </si>
  <si>
    <t>Stuttgart</t>
  </si>
  <si>
    <t>S006</t>
  </si>
  <si>
    <t>Storage Bins</t>
  </si>
  <si>
    <t>S007</t>
  </si>
  <si>
    <t>Conveyor Belt</t>
  </si>
  <si>
    <t>S008</t>
  </si>
  <si>
    <t>Hand Truck</t>
  </si>
  <si>
    <t>S009</t>
  </si>
  <si>
    <t>Pallet Jack</t>
  </si>
  <si>
    <t>S010</t>
  </si>
  <si>
    <t>Warehouse Scale</t>
  </si>
  <si>
    <t>S011</t>
  </si>
  <si>
    <t>Safety Helmet</t>
  </si>
  <si>
    <t>S012</t>
  </si>
  <si>
    <t>Gloves</t>
  </si>
  <si>
    <t>S013</t>
  </si>
  <si>
    <t>Inventory Scanner</t>
  </si>
  <si>
    <t>S014</t>
  </si>
  <si>
    <t>Industrial Fan</t>
  </si>
  <si>
    <t>S015</t>
  </si>
  <si>
    <t>Packaging Tape</t>
  </si>
  <si>
    <t>TOTALS</t>
  </si>
  <si>
    <t>Delivery Analysis – On-Time Rate, Delays &amp; Cost per Route</t>
  </si>
  <si>
    <t>Route-level KPIs pulled live from Shipment Data sheet  |  On-Time = Delivered  |  Delayed = Late  |  In Transit = Pending</t>
  </si>
  <si>
    <t>Status</t>
  </si>
  <si>
    <t>Qty
Shipped</t>
  </si>
  <si>
    <t>On-Time?</t>
  </si>
  <si>
    <t>Cost/Unit
(€)</t>
  </si>
  <si>
    <t>Delay
Flag</t>
  </si>
  <si>
    <t>TOTALS / KPIs</t>
  </si>
  <si>
    <t>Route Summary – Cost, Volume &amp; On-Time Rate by Origin/Destination</t>
  </si>
  <si>
    <t>Aggregated per route  |  On-Time Rate = Delivered / Total Shipments  |  Avg Cost = Total Cost / No. of Shipments</t>
  </si>
  <si>
    <t>Route (Origin → Dest)</t>
  </si>
  <si>
    <t>Total
Shipments</t>
  </si>
  <si>
    <t>Total Cost
(€)</t>
  </si>
  <si>
    <t>Delivered
(On-Time)</t>
  </si>
  <si>
    <t>On-Time
Rate (%)</t>
  </si>
  <si>
    <t>Berlin → Cologne</t>
  </si>
  <si>
    <t>Berlin → Hamburg</t>
  </si>
  <si>
    <t>Berlin → Munich</t>
  </si>
  <si>
    <t>Berlin → Stuttgart</t>
  </si>
  <si>
    <t>Cologne → Hamburg</t>
  </si>
  <si>
    <t>Cologne → Munich</t>
  </si>
  <si>
    <t>Frankfurt → Berlin</t>
  </si>
  <si>
    <t>Hamburg → Cologne</t>
  </si>
  <si>
    <t>Hamburg → Frankfurt</t>
  </si>
  <si>
    <t>Munich → Berlin</t>
  </si>
  <si>
    <t>Munich → Hamburg</t>
  </si>
  <si>
    <t>Munich → Stuttgart</t>
  </si>
  <si>
    <t>Stuttgart → Frankfurt</t>
  </si>
  <si>
    <t>TOTAL / AVERAGE</t>
  </si>
  <si>
    <t>Delivery KPI Dashboard</t>
  </si>
  <si>
    <t>KPI Metric</t>
  </si>
  <si>
    <t>Value</t>
  </si>
  <si>
    <t>Formula / Source</t>
  </si>
  <si>
    <t>Interpretation</t>
  </si>
  <si>
    <t>Total Shipments</t>
  </si>
  <si>
    <t>COUNT of all shipment IDs</t>
  </si>
  <si>
    <t>All tracked deliveries</t>
  </si>
  <si>
    <t>Delivered (On-Time)</t>
  </si>
  <si>
    <t>COUNTIF status = "Delivered"</t>
  </si>
  <si>
    <t>Completed on-time shipments</t>
  </si>
  <si>
    <t>Late deliveries needing attention</t>
  </si>
  <si>
    <t>COUNTIF status = "In Transit"</t>
  </si>
  <si>
    <t>Currently in progress</t>
  </si>
  <si>
    <t>On-Time Delivery Rate</t>
  </si>
  <si>
    <t>Delivered / Total Shipments</t>
  </si>
  <si>
    <t>% of shipments arriving on time</t>
  </si>
  <si>
    <t>Delay Rate</t>
  </si>
  <si>
    <t>Delayed / Total Shipments</t>
  </si>
  <si>
    <t>% of shipments that are late</t>
  </si>
  <si>
    <t>Total Shipment Cost (€)</t>
  </si>
  <si>
    <t>SUM of all shipment costs</t>
  </si>
  <si>
    <t>Total logistics spend</t>
  </si>
  <si>
    <t>Average Cost per Shipment (€)</t>
  </si>
  <si>
    <t>Total Cost / Total Shipments</t>
  </si>
  <si>
    <t>Avg cost per delivery order</t>
  </si>
  <si>
    <t>Total Qty Shipped</t>
  </si>
  <si>
    <t>SUM of all quantities</t>
  </si>
  <si>
    <t>Total units dispatched</t>
  </si>
  <si>
    <t>Avg Days Delayed (Delayed Only)</t>
  </si>
  <si>
    <t>AVERAGEIF for delayed status</t>
  </si>
  <si>
    <t>Avg days late for delayed shipments</t>
  </si>
  <si>
    <t>Highest Cost Route</t>
  </si>
  <si>
    <t>INDEX/MATCH on max cost</t>
  </si>
  <si>
    <t>Most expensive route</t>
  </si>
  <si>
    <t>Best On-Time Route</t>
  </si>
  <si>
    <t>INDEX/MATCH on max on-time rate</t>
  </si>
  <si>
    <t>Route with best performance</t>
  </si>
  <si>
    <t>Status Key</t>
  </si>
  <si>
    <t>✅ Delivered – On-Time</t>
  </si>
  <si>
    <t>❌ Delayed – Action Required</t>
  </si>
  <si>
    <t>⏳ In Transit – Pending</t>
  </si>
  <si>
    <t>COUNTIF status = "Delayed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</si>
</sst>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.00"/>
    <numFmt numFmtId="165" formatCode="0.0%"/>
    <numFmt numFmtId="166" formatCode="#,##0.0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008000"/>
      <name val="Arial"/>
      <family val="2"/>
    </font>
    <font>
      <b/>
      <sz val="15"/>
      <color rgb="FFFFFFFF"/>
      <name val="Arial"/>
      <family val="2"/>
    </font>
    <font>
      <b/>
      <sz val="11"/>
      <color rgb="FF1F4E79"/>
      <name val="Arial"/>
      <family val="2"/>
    </font>
    <font>
      <sz val="9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70AD47"/>
        <bgColor rgb="FF878787"/>
      </patternFill>
    </fill>
    <fill>
      <patternFill patternType="solid">
        <fgColor rgb="FFD9E1F2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2E75B6"/>
        <bgColor rgb="FF0066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3" fontId="9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3" fontId="9" fillId="6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165" fontId="14" fillId="3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Shipment Cost by Route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'Route Summary'!$C$3</c:f>
              <c:strCache>
                <c:ptCount val="1"/>
                <c:pt idx="0">
                  <c:v>Total Cost
(€)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Summary'!$A$4:$A$16</c:f>
              <c:strCache>
                <c:ptCount val="13"/>
                <c:pt idx="0">
                  <c:v>Berlin → Cologne</c:v>
                </c:pt>
                <c:pt idx="1">
                  <c:v>Berlin → Hamburg</c:v>
                </c:pt>
                <c:pt idx="2">
                  <c:v>Berlin → Munich</c:v>
                </c:pt>
                <c:pt idx="3">
                  <c:v>Berlin → Stuttgart</c:v>
                </c:pt>
                <c:pt idx="4">
                  <c:v>Cologne → Hamburg</c:v>
                </c:pt>
                <c:pt idx="5">
                  <c:v>Cologne → Munich</c:v>
                </c:pt>
                <c:pt idx="6">
                  <c:v>Frankfurt → Berlin</c:v>
                </c:pt>
                <c:pt idx="7">
                  <c:v>Hamburg → Cologne</c:v>
                </c:pt>
                <c:pt idx="8">
                  <c:v>Hamburg → Frankfurt</c:v>
                </c:pt>
                <c:pt idx="9">
                  <c:v>Munich → Berlin</c:v>
                </c:pt>
                <c:pt idx="10">
                  <c:v>Munich → Hamburg</c:v>
                </c:pt>
                <c:pt idx="11">
                  <c:v>Munich → Stuttgart</c:v>
                </c:pt>
                <c:pt idx="12">
                  <c:v>Stuttgart → Frankfurt</c:v>
                </c:pt>
              </c:strCache>
            </c:strRef>
          </c:cat>
          <c:val>
            <c:numRef>
              <c:f>'Route Summary'!$C$4:$C$16</c:f>
              <c:numCache>
                <c:formatCode>\€#,##0.00</c:formatCode>
                <c:ptCount val="13"/>
                <c:pt idx="0">
                  <c:v>250</c:v>
                </c:pt>
                <c:pt idx="1">
                  <c:v>400</c:v>
                </c:pt>
                <c:pt idx="2">
                  <c:v>180</c:v>
                </c:pt>
                <c:pt idx="3">
                  <c:v>220</c:v>
                </c:pt>
                <c:pt idx="4">
                  <c:v>900</c:v>
                </c:pt>
                <c:pt idx="5">
                  <c:v>260</c:v>
                </c:pt>
                <c:pt idx="6">
                  <c:v>520</c:v>
                </c:pt>
                <c:pt idx="7">
                  <c:v>280</c:v>
                </c:pt>
                <c:pt idx="8">
                  <c:v>430</c:v>
                </c:pt>
                <c:pt idx="9">
                  <c:v>150</c:v>
                </c:pt>
                <c:pt idx="10">
                  <c:v>140</c:v>
                </c:pt>
                <c:pt idx="11">
                  <c:v>1200</c:v>
                </c:pt>
                <c:pt idx="1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F-4F3E-9AE4-AAB0E970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67009"/>
        <c:axId val="90674456"/>
      </c:barChart>
      <c:catAx>
        <c:axId val="68767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Route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74456"/>
        <c:crosses val="autoZero"/>
        <c:auto val="1"/>
        <c:lblAlgn val="ctr"/>
        <c:lblOffset val="100"/>
        <c:noMultiLvlLbl val="0"/>
      </c:catAx>
      <c:valAx>
        <c:axId val="90674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67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On-Time Delivery Rate by Route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'Route Summary'!$F$3</c:f>
              <c:strCache>
                <c:ptCount val="1"/>
                <c:pt idx="0">
                  <c:v>On-Time
Rate (%)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37562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Summary'!$A$4:$A$16</c:f>
              <c:strCache>
                <c:ptCount val="13"/>
                <c:pt idx="0">
                  <c:v>Berlin → Cologne</c:v>
                </c:pt>
                <c:pt idx="1">
                  <c:v>Berlin → Hamburg</c:v>
                </c:pt>
                <c:pt idx="2">
                  <c:v>Berlin → Munich</c:v>
                </c:pt>
                <c:pt idx="3">
                  <c:v>Berlin → Stuttgart</c:v>
                </c:pt>
                <c:pt idx="4">
                  <c:v>Cologne → Hamburg</c:v>
                </c:pt>
                <c:pt idx="5">
                  <c:v>Cologne → Munich</c:v>
                </c:pt>
                <c:pt idx="6">
                  <c:v>Frankfurt → Berlin</c:v>
                </c:pt>
                <c:pt idx="7">
                  <c:v>Hamburg → Cologne</c:v>
                </c:pt>
                <c:pt idx="8">
                  <c:v>Hamburg → Frankfurt</c:v>
                </c:pt>
                <c:pt idx="9">
                  <c:v>Munich → Berlin</c:v>
                </c:pt>
                <c:pt idx="10">
                  <c:v>Munich → Hamburg</c:v>
                </c:pt>
                <c:pt idx="11">
                  <c:v>Munich → Stuttgart</c:v>
                </c:pt>
                <c:pt idx="12">
                  <c:v>Stuttgart → Frankfurt</c:v>
                </c:pt>
              </c:strCache>
            </c:strRef>
          </c:cat>
          <c:val>
            <c:numRef>
              <c:f>'Route Summary'!$F$4:$F$16</c:f>
              <c:numCache>
                <c:formatCode>0.0%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2-46D3-8F98-CD9BE664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81390"/>
        <c:axId val="84671773"/>
      </c:barChart>
      <c:catAx>
        <c:axId val="47481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Route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671773"/>
        <c:crosses val="autoZero"/>
        <c:auto val="1"/>
        <c:lblAlgn val="ctr"/>
        <c:lblOffset val="100"/>
        <c:noMultiLvlLbl val="0"/>
      </c:catAx>
      <c:valAx>
        <c:axId val="84671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On-Time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813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6</xdr:col>
      <xdr:colOff>448200</xdr:colOff>
      <xdr:row>43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19</xdr:col>
      <xdr:colOff>581760</xdr:colOff>
      <xdr:row>43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I19"/>
  <sheetViews>
    <sheetView tabSelected="1" zoomScaleNormal="100" workbookViewId="0">
      <pane ySplit="3" topLeftCell="A4" activePane="bottomLeft" state="frozen"/>
      <selection pane="bottomLeft" sqref="A1:I1"/>
    </sheetView>
  </sheetViews>
  <sheetFormatPr defaultColWidth="8.6640625" defaultRowHeight="14.4" x14ac:dyDescent="0.3"/>
  <cols>
    <col min="1" max="1" width="12" customWidth="1"/>
    <col min="2" max="2" width="22" customWidth="1"/>
    <col min="3" max="4" width="14" customWidth="1"/>
    <col min="5" max="5" width="12" customWidth="1"/>
    <col min="6" max="7" width="16" customWidth="1"/>
    <col min="8" max="8" width="20" customWidth="1"/>
    <col min="9" max="9" width="16" customWidth="1"/>
  </cols>
  <sheetData>
    <row r="1" spans="1:9" ht="31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 ht="37.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</row>
    <row r="4" spans="1:9" x14ac:dyDescent="0.3">
      <c r="A4" s="12" t="s">
        <v>11</v>
      </c>
      <c r="B4" s="13" t="s">
        <v>12</v>
      </c>
      <c r="C4" s="14" t="s">
        <v>13</v>
      </c>
      <c r="D4" s="14" t="s">
        <v>14</v>
      </c>
      <c r="E4" s="15">
        <v>50</v>
      </c>
      <c r="F4" s="16">
        <v>400</v>
      </c>
      <c r="G4" s="17" t="s">
        <v>15</v>
      </c>
      <c r="H4" s="14" t="str">
        <f t="shared" ref="H4:H18" si="0">C4&amp;" → "&amp;D4</f>
        <v>Berlin → Hamburg</v>
      </c>
      <c r="I4" s="15">
        <v>0</v>
      </c>
    </row>
    <row r="5" spans="1:9" x14ac:dyDescent="0.3">
      <c r="A5" s="18" t="s">
        <v>16</v>
      </c>
      <c r="B5" s="19" t="s">
        <v>17</v>
      </c>
      <c r="C5" s="20" t="s">
        <v>18</v>
      </c>
      <c r="D5" s="20" t="s">
        <v>13</v>
      </c>
      <c r="E5" s="21">
        <v>200</v>
      </c>
      <c r="F5" s="22">
        <v>150</v>
      </c>
      <c r="G5" s="23" t="s">
        <v>19</v>
      </c>
      <c r="H5" s="20" t="str">
        <f t="shared" si="0"/>
        <v>Munich → Berlin</v>
      </c>
      <c r="I5" s="21">
        <v>0</v>
      </c>
    </row>
    <row r="6" spans="1:9" x14ac:dyDescent="0.3">
      <c r="A6" s="12" t="s">
        <v>20</v>
      </c>
      <c r="B6" s="13" t="s">
        <v>21</v>
      </c>
      <c r="C6" s="14" t="s">
        <v>14</v>
      </c>
      <c r="D6" s="14" t="s">
        <v>22</v>
      </c>
      <c r="E6" s="15">
        <v>10</v>
      </c>
      <c r="F6" s="16">
        <v>300</v>
      </c>
      <c r="G6" s="17" t="s">
        <v>15</v>
      </c>
      <c r="H6" s="14" t="str">
        <f t="shared" si="0"/>
        <v>Hamburg → Frankfurt</v>
      </c>
      <c r="I6" s="15">
        <v>0</v>
      </c>
    </row>
    <row r="7" spans="1:9" x14ac:dyDescent="0.3">
      <c r="A7" s="18" t="s">
        <v>23</v>
      </c>
      <c r="B7" s="19" t="s">
        <v>24</v>
      </c>
      <c r="C7" s="20" t="s">
        <v>13</v>
      </c>
      <c r="D7" s="20" t="s">
        <v>25</v>
      </c>
      <c r="E7" s="21">
        <v>8</v>
      </c>
      <c r="F7" s="22">
        <v>250</v>
      </c>
      <c r="G7" s="24" t="s">
        <v>26</v>
      </c>
      <c r="H7" s="20" t="str">
        <f t="shared" si="0"/>
        <v>Berlin → Cologne</v>
      </c>
      <c r="I7" s="25">
        <v>3</v>
      </c>
    </row>
    <row r="8" spans="1:9" x14ac:dyDescent="0.3">
      <c r="A8" s="12" t="s">
        <v>27</v>
      </c>
      <c r="B8" s="13" t="s">
        <v>28</v>
      </c>
      <c r="C8" s="14" t="s">
        <v>18</v>
      </c>
      <c r="D8" s="14" t="s">
        <v>29</v>
      </c>
      <c r="E8" s="15">
        <v>2</v>
      </c>
      <c r="F8" s="16">
        <v>1200</v>
      </c>
      <c r="G8" s="17" t="s">
        <v>15</v>
      </c>
      <c r="H8" s="14" t="str">
        <f t="shared" si="0"/>
        <v>Munich → Stuttgart</v>
      </c>
      <c r="I8" s="15">
        <v>0</v>
      </c>
    </row>
    <row r="9" spans="1:9" x14ac:dyDescent="0.3">
      <c r="A9" s="18" t="s">
        <v>30</v>
      </c>
      <c r="B9" s="19" t="s">
        <v>31</v>
      </c>
      <c r="C9" s="20" t="s">
        <v>22</v>
      </c>
      <c r="D9" s="20" t="s">
        <v>13</v>
      </c>
      <c r="E9" s="21">
        <v>60</v>
      </c>
      <c r="F9" s="22">
        <v>200</v>
      </c>
      <c r="G9" s="23" t="s">
        <v>19</v>
      </c>
      <c r="H9" s="20" t="str">
        <f t="shared" si="0"/>
        <v>Frankfurt → Berlin</v>
      </c>
      <c r="I9" s="21">
        <v>0</v>
      </c>
    </row>
    <row r="10" spans="1:9" x14ac:dyDescent="0.3">
      <c r="A10" s="12" t="s">
        <v>32</v>
      </c>
      <c r="B10" s="13" t="s">
        <v>33</v>
      </c>
      <c r="C10" s="14" t="s">
        <v>25</v>
      </c>
      <c r="D10" s="14" t="s">
        <v>14</v>
      </c>
      <c r="E10" s="15">
        <v>3</v>
      </c>
      <c r="F10" s="16">
        <v>900</v>
      </c>
      <c r="G10" s="17" t="s">
        <v>15</v>
      </c>
      <c r="H10" s="14" t="str">
        <f t="shared" si="0"/>
        <v>Cologne → Hamburg</v>
      </c>
      <c r="I10" s="15">
        <v>0</v>
      </c>
    </row>
    <row r="11" spans="1:9" x14ac:dyDescent="0.3">
      <c r="A11" s="18" t="s">
        <v>34</v>
      </c>
      <c r="B11" s="19" t="s">
        <v>35</v>
      </c>
      <c r="C11" s="20" t="s">
        <v>13</v>
      </c>
      <c r="D11" s="20" t="s">
        <v>18</v>
      </c>
      <c r="E11" s="21">
        <v>15</v>
      </c>
      <c r="F11" s="22">
        <v>180</v>
      </c>
      <c r="G11" s="24" t="s">
        <v>26</v>
      </c>
      <c r="H11" s="20" t="str">
        <f t="shared" si="0"/>
        <v>Berlin → Munich</v>
      </c>
      <c r="I11" s="25">
        <v>2</v>
      </c>
    </row>
    <row r="12" spans="1:9" x14ac:dyDescent="0.3">
      <c r="A12" s="12" t="s">
        <v>36</v>
      </c>
      <c r="B12" s="13" t="s">
        <v>37</v>
      </c>
      <c r="C12" s="14" t="s">
        <v>29</v>
      </c>
      <c r="D12" s="14" t="s">
        <v>22</v>
      </c>
      <c r="E12" s="15">
        <v>6</v>
      </c>
      <c r="F12" s="16">
        <v>350</v>
      </c>
      <c r="G12" s="17" t="s">
        <v>15</v>
      </c>
      <c r="H12" s="14" t="str">
        <f t="shared" si="0"/>
        <v>Stuttgart → Frankfurt</v>
      </c>
      <c r="I12" s="15">
        <v>0</v>
      </c>
    </row>
    <row r="13" spans="1:9" x14ac:dyDescent="0.3">
      <c r="A13" s="18" t="s">
        <v>38</v>
      </c>
      <c r="B13" s="19" t="s">
        <v>39</v>
      </c>
      <c r="C13" s="20" t="s">
        <v>14</v>
      </c>
      <c r="D13" s="20" t="s">
        <v>25</v>
      </c>
      <c r="E13" s="21">
        <v>4</v>
      </c>
      <c r="F13" s="22">
        <v>280</v>
      </c>
      <c r="G13" s="23" t="s">
        <v>19</v>
      </c>
      <c r="H13" s="20" t="str">
        <f t="shared" si="0"/>
        <v>Hamburg → Cologne</v>
      </c>
      <c r="I13" s="21">
        <v>0</v>
      </c>
    </row>
    <row r="14" spans="1:9" x14ac:dyDescent="0.3">
      <c r="A14" s="12" t="s">
        <v>40</v>
      </c>
      <c r="B14" s="13" t="s">
        <v>41</v>
      </c>
      <c r="C14" s="14" t="s">
        <v>13</v>
      </c>
      <c r="D14" s="14" t="s">
        <v>29</v>
      </c>
      <c r="E14" s="15">
        <v>70</v>
      </c>
      <c r="F14" s="16">
        <v>220</v>
      </c>
      <c r="G14" s="17" t="s">
        <v>15</v>
      </c>
      <c r="H14" s="14" t="str">
        <f t="shared" si="0"/>
        <v>Berlin → Stuttgart</v>
      </c>
      <c r="I14" s="15">
        <v>0</v>
      </c>
    </row>
    <row r="15" spans="1:9" x14ac:dyDescent="0.3">
      <c r="A15" s="18" t="s">
        <v>42</v>
      </c>
      <c r="B15" s="19" t="s">
        <v>43</v>
      </c>
      <c r="C15" s="20" t="s">
        <v>18</v>
      </c>
      <c r="D15" s="20" t="s">
        <v>14</v>
      </c>
      <c r="E15" s="21">
        <v>150</v>
      </c>
      <c r="F15" s="22">
        <v>140</v>
      </c>
      <c r="G15" s="17" t="s">
        <v>15</v>
      </c>
      <c r="H15" s="20" t="str">
        <f t="shared" si="0"/>
        <v>Munich → Hamburg</v>
      </c>
      <c r="I15" s="21">
        <v>0</v>
      </c>
    </row>
    <row r="16" spans="1:9" x14ac:dyDescent="0.3">
      <c r="A16" s="12" t="s">
        <v>44</v>
      </c>
      <c r="B16" s="13" t="s">
        <v>45</v>
      </c>
      <c r="C16" s="14" t="s">
        <v>22</v>
      </c>
      <c r="D16" s="14" t="s">
        <v>13</v>
      </c>
      <c r="E16" s="15">
        <v>12</v>
      </c>
      <c r="F16" s="16">
        <v>320</v>
      </c>
      <c r="G16" s="23" t="s">
        <v>19</v>
      </c>
      <c r="H16" s="14" t="str">
        <f t="shared" si="0"/>
        <v>Frankfurt → Berlin</v>
      </c>
      <c r="I16" s="15">
        <v>0</v>
      </c>
    </row>
    <row r="17" spans="1:9" x14ac:dyDescent="0.3">
      <c r="A17" s="18" t="s">
        <v>46</v>
      </c>
      <c r="B17" s="19" t="s">
        <v>47</v>
      </c>
      <c r="C17" s="20" t="s">
        <v>25</v>
      </c>
      <c r="D17" s="20" t="s">
        <v>18</v>
      </c>
      <c r="E17" s="21">
        <v>5</v>
      </c>
      <c r="F17" s="22">
        <v>260</v>
      </c>
      <c r="G17" s="24" t="s">
        <v>26</v>
      </c>
      <c r="H17" s="20" t="str">
        <f t="shared" si="0"/>
        <v>Cologne → Munich</v>
      </c>
      <c r="I17" s="25">
        <v>5</v>
      </c>
    </row>
    <row r="18" spans="1:9" x14ac:dyDescent="0.3">
      <c r="A18" s="12" t="s">
        <v>48</v>
      </c>
      <c r="B18" s="13" t="s">
        <v>49</v>
      </c>
      <c r="C18" s="14" t="s">
        <v>14</v>
      </c>
      <c r="D18" s="14" t="s">
        <v>22</v>
      </c>
      <c r="E18" s="15">
        <v>300</v>
      </c>
      <c r="F18" s="16">
        <v>130</v>
      </c>
      <c r="G18" s="17" t="s">
        <v>15</v>
      </c>
      <c r="H18" s="14" t="str">
        <f t="shared" si="0"/>
        <v>Hamburg → Frankfurt</v>
      </c>
      <c r="I18" s="15">
        <v>0</v>
      </c>
    </row>
    <row r="19" spans="1:9" ht="21.75" customHeight="1" x14ac:dyDescent="0.3">
      <c r="A19" s="8" t="s">
        <v>50</v>
      </c>
      <c r="B19" s="8"/>
      <c r="C19" s="8"/>
      <c r="D19" s="8"/>
      <c r="E19" s="8"/>
      <c r="F19" s="27">
        <f>SUM(F4:F18)</f>
        <v>5280</v>
      </c>
      <c r="G19" s="28"/>
      <c r="H19" s="28"/>
      <c r="I19" s="28"/>
    </row>
  </sheetData>
  <mergeCells count="3">
    <mergeCell ref="A1:I1"/>
    <mergeCell ref="A2:I2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I19"/>
  <sheetViews>
    <sheetView zoomScaleNormal="100" workbookViewId="0">
      <pane ySplit="3" topLeftCell="A4" activePane="bottomLeft" state="frozen"/>
      <selection pane="bottomLeft" sqref="A1:I1"/>
    </sheetView>
  </sheetViews>
  <sheetFormatPr defaultColWidth="8.6640625" defaultRowHeight="14.4" x14ac:dyDescent="0.3"/>
  <cols>
    <col min="1" max="1" width="14" customWidth="1"/>
    <col min="2" max="2" width="22" customWidth="1"/>
    <col min="3" max="4" width="16" customWidth="1"/>
    <col min="5" max="5" width="18" customWidth="1"/>
    <col min="6" max="6" width="16" customWidth="1"/>
    <col min="7" max="7" width="18" customWidth="1"/>
    <col min="8" max="8" width="16" customWidth="1"/>
    <col min="9" max="9" width="20" customWidth="1"/>
  </cols>
  <sheetData>
    <row r="1" spans="1:9" ht="31.5" customHeight="1" x14ac:dyDescent="0.3">
      <c r="A1" s="10" t="s">
        <v>51</v>
      </c>
      <c r="B1" s="10"/>
      <c r="C1" s="10"/>
      <c r="D1" s="10"/>
      <c r="E1" s="10"/>
      <c r="F1" s="10"/>
      <c r="G1" s="10"/>
      <c r="H1" s="10"/>
      <c r="I1" s="10"/>
    </row>
    <row r="2" spans="1:9" ht="18" customHeight="1" x14ac:dyDescent="0.3">
      <c r="A2" s="9" t="s">
        <v>52</v>
      </c>
      <c r="B2" s="9"/>
      <c r="C2" s="9"/>
      <c r="D2" s="9"/>
      <c r="E2" s="9"/>
      <c r="F2" s="9"/>
      <c r="G2" s="9"/>
      <c r="H2" s="9"/>
      <c r="I2" s="9"/>
    </row>
    <row r="3" spans="1:9" ht="37.5" customHeight="1" x14ac:dyDescent="0.3">
      <c r="A3" s="11" t="s">
        <v>9</v>
      </c>
      <c r="B3" s="11" t="s">
        <v>3</v>
      </c>
      <c r="C3" s="11" t="s">
        <v>53</v>
      </c>
      <c r="D3" s="11" t="s">
        <v>54</v>
      </c>
      <c r="E3" s="11" t="s">
        <v>7</v>
      </c>
      <c r="F3" s="11" t="s">
        <v>10</v>
      </c>
      <c r="G3" s="11" t="s">
        <v>55</v>
      </c>
      <c r="H3" s="11" t="s">
        <v>56</v>
      </c>
      <c r="I3" s="11" t="s">
        <v>57</v>
      </c>
    </row>
    <row r="4" spans="1:9" x14ac:dyDescent="0.3">
      <c r="A4" s="29" t="str">
        <f>'Shipment Data'!H4</f>
        <v>Berlin → Hamburg</v>
      </c>
      <c r="B4" s="30" t="str">
        <f>'Shipment Data'!B4</f>
        <v>Pallets</v>
      </c>
      <c r="C4" s="17" t="str">
        <f>'Shipment Data'!G4</f>
        <v>Delivered</v>
      </c>
      <c r="D4" s="31">
        <f>'Shipment Data'!E4</f>
        <v>50</v>
      </c>
      <c r="E4" s="32">
        <f>'Shipment Data'!F4</f>
        <v>400</v>
      </c>
      <c r="F4" s="15">
        <f>'Shipment Data'!I4</f>
        <v>0</v>
      </c>
      <c r="G4" s="33" t="str">
        <f t="shared" ref="G4:G18" si="0">IF(C4="Delivered","✅ On-Time",IF(C4="Delayed","❌ Delayed","⏳ Pending"))</f>
        <v>✅ On-Time</v>
      </c>
      <c r="H4" s="32">
        <f t="shared" ref="H4:H18" si="1">IFERROR(E4/D4,0)</f>
        <v>8</v>
      </c>
      <c r="I4" s="33" t="str">
        <f t="shared" ref="I4:I18" si="2">IF(C4="Delayed","🔴 DELAYED",IF(C4="In Transit","🟡 IN TRANSIT","🟢 DELIVERED"))</f>
        <v>🟢 DELIVERED</v>
      </c>
    </row>
    <row r="5" spans="1:9" x14ac:dyDescent="0.3">
      <c r="A5" s="34" t="str">
        <f>'Shipment Data'!H5</f>
        <v>Munich → Berlin</v>
      </c>
      <c r="B5" s="35" t="str">
        <f>'Shipment Data'!B5</f>
        <v>Packaging Boxes</v>
      </c>
      <c r="C5" s="23" t="str">
        <f>'Shipment Data'!G5</f>
        <v>In Transit</v>
      </c>
      <c r="D5" s="36">
        <f>'Shipment Data'!E5</f>
        <v>200</v>
      </c>
      <c r="E5" s="37">
        <f>'Shipment Data'!F5</f>
        <v>150</v>
      </c>
      <c r="F5" s="21">
        <f>'Shipment Data'!I5</f>
        <v>0</v>
      </c>
      <c r="G5" s="38" t="str">
        <f t="shared" si="0"/>
        <v>⏳ Pending</v>
      </c>
      <c r="H5" s="37">
        <f t="shared" si="1"/>
        <v>0.75</v>
      </c>
      <c r="I5" s="38" t="str">
        <f t="shared" si="2"/>
        <v>🟡 IN TRANSIT</v>
      </c>
    </row>
    <row r="6" spans="1:9" x14ac:dyDescent="0.3">
      <c r="A6" s="29" t="str">
        <f>'Shipment Data'!H6</f>
        <v>Hamburg → Frankfurt</v>
      </c>
      <c r="B6" s="30" t="str">
        <f>'Shipment Data'!B6</f>
        <v>Barcode Scanner</v>
      </c>
      <c r="C6" s="17" t="str">
        <f>'Shipment Data'!G6</f>
        <v>Delivered</v>
      </c>
      <c r="D6" s="31">
        <f>'Shipment Data'!E6</f>
        <v>10</v>
      </c>
      <c r="E6" s="32">
        <f>'Shipment Data'!F6</f>
        <v>300</v>
      </c>
      <c r="F6" s="15">
        <f>'Shipment Data'!I6</f>
        <v>0</v>
      </c>
      <c r="G6" s="33" t="str">
        <f t="shared" si="0"/>
        <v>✅ On-Time</v>
      </c>
      <c r="H6" s="32">
        <f t="shared" si="1"/>
        <v>30</v>
      </c>
      <c r="I6" s="33" t="str">
        <f t="shared" si="2"/>
        <v>🟢 DELIVERED</v>
      </c>
    </row>
    <row r="7" spans="1:9" x14ac:dyDescent="0.3">
      <c r="A7" s="34" t="str">
        <f>'Shipment Data'!H7</f>
        <v>Berlin → Cologne</v>
      </c>
      <c r="B7" s="35" t="str">
        <f>'Shipment Data'!B7</f>
        <v>Label Printer</v>
      </c>
      <c r="C7" s="24" t="str">
        <f>'Shipment Data'!G7</f>
        <v>Delayed</v>
      </c>
      <c r="D7" s="36">
        <f>'Shipment Data'!E7</f>
        <v>8</v>
      </c>
      <c r="E7" s="37">
        <f>'Shipment Data'!F7</f>
        <v>250</v>
      </c>
      <c r="F7" s="25">
        <f>'Shipment Data'!I7</f>
        <v>3</v>
      </c>
      <c r="G7" s="38" t="str">
        <f t="shared" si="0"/>
        <v>❌ Delayed</v>
      </c>
      <c r="H7" s="37">
        <f t="shared" si="1"/>
        <v>31.25</v>
      </c>
      <c r="I7" s="38" t="str">
        <f t="shared" si="2"/>
        <v>🔴 DELAYED</v>
      </c>
    </row>
    <row r="8" spans="1:9" x14ac:dyDescent="0.3">
      <c r="A8" s="29" t="str">
        <f>'Shipment Data'!H8</f>
        <v>Munich → Stuttgart</v>
      </c>
      <c r="B8" s="30" t="str">
        <f>'Shipment Data'!B8</f>
        <v>Forklift</v>
      </c>
      <c r="C8" s="17" t="str">
        <f>'Shipment Data'!G8</f>
        <v>Delivered</v>
      </c>
      <c r="D8" s="31">
        <f>'Shipment Data'!E8</f>
        <v>2</v>
      </c>
      <c r="E8" s="32">
        <f>'Shipment Data'!F8</f>
        <v>1200</v>
      </c>
      <c r="F8" s="15">
        <f>'Shipment Data'!I8</f>
        <v>0</v>
      </c>
      <c r="G8" s="33" t="str">
        <f t="shared" si="0"/>
        <v>✅ On-Time</v>
      </c>
      <c r="H8" s="32">
        <f t="shared" si="1"/>
        <v>600</v>
      </c>
      <c r="I8" s="33" t="str">
        <f t="shared" si="2"/>
        <v>🟢 DELIVERED</v>
      </c>
    </row>
    <row r="9" spans="1:9" x14ac:dyDescent="0.3">
      <c r="A9" s="34" t="str">
        <f>'Shipment Data'!H9</f>
        <v>Frankfurt → Berlin</v>
      </c>
      <c r="B9" s="35" t="str">
        <f>'Shipment Data'!B9</f>
        <v>Storage Bins</v>
      </c>
      <c r="C9" s="23" t="str">
        <f>'Shipment Data'!G9</f>
        <v>In Transit</v>
      </c>
      <c r="D9" s="36">
        <f>'Shipment Data'!E9</f>
        <v>60</v>
      </c>
      <c r="E9" s="37">
        <f>'Shipment Data'!F9</f>
        <v>200</v>
      </c>
      <c r="F9" s="21">
        <f>'Shipment Data'!I9</f>
        <v>0</v>
      </c>
      <c r="G9" s="38" t="str">
        <f t="shared" si="0"/>
        <v>⏳ Pending</v>
      </c>
      <c r="H9" s="37">
        <f t="shared" si="1"/>
        <v>3.3333333333333335</v>
      </c>
      <c r="I9" s="38" t="str">
        <f t="shared" si="2"/>
        <v>🟡 IN TRANSIT</v>
      </c>
    </row>
    <row r="10" spans="1:9" x14ac:dyDescent="0.3">
      <c r="A10" s="29" t="str">
        <f>'Shipment Data'!H10</f>
        <v>Cologne → Hamburg</v>
      </c>
      <c r="B10" s="30" t="str">
        <f>'Shipment Data'!B10</f>
        <v>Conveyor Belt</v>
      </c>
      <c r="C10" s="17" t="str">
        <f>'Shipment Data'!G10</f>
        <v>Delivered</v>
      </c>
      <c r="D10" s="31">
        <f>'Shipment Data'!E10</f>
        <v>3</v>
      </c>
      <c r="E10" s="32">
        <f>'Shipment Data'!F10</f>
        <v>900</v>
      </c>
      <c r="F10" s="15">
        <f>'Shipment Data'!I10</f>
        <v>0</v>
      </c>
      <c r="G10" s="33" t="str">
        <f t="shared" si="0"/>
        <v>✅ On-Time</v>
      </c>
      <c r="H10" s="32">
        <f t="shared" si="1"/>
        <v>300</v>
      </c>
      <c r="I10" s="33" t="str">
        <f t="shared" si="2"/>
        <v>🟢 DELIVERED</v>
      </c>
    </row>
    <row r="11" spans="1:9" x14ac:dyDescent="0.3">
      <c r="A11" s="34" t="str">
        <f>'Shipment Data'!H11</f>
        <v>Berlin → Munich</v>
      </c>
      <c r="B11" s="35" t="str">
        <f>'Shipment Data'!B11</f>
        <v>Hand Truck</v>
      </c>
      <c r="C11" s="24" t="str">
        <f>'Shipment Data'!G11</f>
        <v>Delayed</v>
      </c>
      <c r="D11" s="36">
        <f>'Shipment Data'!E11</f>
        <v>15</v>
      </c>
      <c r="E11" s="37">
        <f>'Shipment Data'!F11</f>
        <v>180</v>
      </c>
      <c r="F11" s="25">
        <f>'Shipment Data'!I11</f>
        <v>2</v>
      </c>
      <c r="G11" s="38" t="str">
        <f t="shared" si="0"/>
        <v>❌ Delayed</v>
      </c>
      <c r="H11" s="37">
        <f t="shared" si="1"/>
        <v>12</v>
      </c>
      <c r="I11" s="38" t="str">
        <f t="shared" si="2"/>
        <v>🔴 DELAYED</v>
      </c>
    </row>
    <row r="12" spans="1:9" x14ac:dyDescent="0.3">
      <c r="A12" s="29" t="str">
        <f>'Shipment Data'!H12</f>
        <v>Stuttgart → Frankfurt</v>
      </c>
      <c r="B12" s="30" t="str">
        <f>'Shipment Data'!B12</f>
        <v>Pallet Jack</v>
      </c>
      <c r="C12" s="17" t="str">
        <f>'Shipment Data'!G12</f>
        <v>Delivered</v>
      </c>
      <c r="D12" s="31">
        <f>'Shipment Data'!E12</f>
        <v>6</v>
      </c>
      <c r="E12" s="32">
        <f>'Shipment Data'!F12</f>
        <v>350</v>
      </c>
      <c r="F12" s="15">
        <f>'Shipment Data'!I12</f>
        <v>0</v>
      </c>
      <c r="G12" s="33" t="str">
        <f t="shared" si="0"/>
        <v>✅ On-Time</v>
      </c>
      <c r="H12" s="32">
        <f t="shared" si="1"/>
        <v>58.333333333333336</v>
      </c>
      <c r="I12" s="33" t="str">
        <f t="shared" si="2"/>
        <v>🟢 DELIVERED</v>
      </c>
    </row>
    <row r="13" spans="1:9" x14ac:dyDescent="0.3">
      <c r="A13" s="34" t="str">
        <f>'Shipment Data'!H13</f>
        <v>Hamburg → Cologne</v>
      </c>
      <c r="B13" s="35" t="str">
        <f>'Shipment Data'!B13</f>
        <v>Warehouse Scale</v>
      </c>
      <c r="C13" s="23" t="str">
        <f>'Shipment Data'!G13</f>
        <v>In Transit</v>
      </c>
      <c r="D13" s="36">
        <f>'Shipment Data'!E13</f>
        <v>4</v>
      </c>
      <c r="E13" s="37">
        <f>'Shipment Data'!F13</f>
        <v>280</v>
      </c>
      <c r="F13" s="21">
        <f>'Shipment Data'!I13</f>
        <v>0</v>
      </c>
      <c r="G13" s="38" t="str">
        <f t="shared" si="0"/>
        <v>⏳ Pending</v>
      </c>
      <c r="H13" s="37">
        <f t="shared" si="1"/>
        <v>70</v>
      </c>
      <c r="I13" s="38" t="str">
        <f t="shared" si="2"/>
        <v>🟡 IN TRANSIT</v>
      </c>
    </row>
    <row r="14" spans="1:9" x14ac:dyDescent="0.3">
      <c r="A14" s="29" t="str">
        <f>'Shipment Data'!H14</f>
        <v>Berlin → Stuttgart</v>
      </c>
      <c r="B14" s="30" t="str">
        <f>'Shipment Data'!B14</f>
        <v>Safety Helmet</v>
      </c>
      <c r="C14" s="17" t="str">
        <f>'Shipment Data'!G14</f>
        <v>Delivered</v>
      </c>
      <c r="D14" s="31">
        <f>'Shipment Data'!E14</f>
        <v>70</v>
      </c>
      <c r="E14" s="32">
        <f>'Shipment Data'!F14</f>
        <v>220</v>
      </c>
      <c r="F14" s="15">
        <f>'Shipment Data'!I14</f>
        <v>0</v>
      </c>
      <c r="G14" s="33" t="str">
        <f t="shared" si="0"/>
        <v>✅ On-Time</v>
      </c>
      <c r="H14" s="32">
        <f t="shared" si="1"/>
        <v>3.1428571428571428</v>
      </c>
      <c r="I14" s="33" t="str">
        <f t="shared" si="2"/>
        <v>🟢 DELIVERED</v>
      </c>
    </row>
    <row r="15" spans="1:9" x14ac:dyDescent="0.3">
      <c r="A15" s="34" t="str">
        <f>'Shipment Data'!H15</f>
        <v>Munich → Hamburg</v>
      </c>
      <c r="B15" s="35" t="str">
        <f>'Shipment Data'!B15</f>
        <v>Gloves</v>
      </c>
      <c r="C15" s="17" t="str">
        <f>'Shipment Data'!G15</f>
        <v>Delivered</v>
      </c>
      <c r="D15" s="36">
        <f>'Shipment Data'!E15</f>
        <v>150</v>
      </c>
      <c r="E15" s="37">
        <f>'Shipment Data'!F15</f>
        <v>140</v>
      </c>
      <c r="F15" s="21">
        <f>'Shipment Data'!I15</f>
        <v>0</v>
      </c>
      <c r="G15" s="38" t="str">
        <f t="shared" si="0"/>
        <v>✅ On-Time</v>
      </c>
      <c r="H15" s="37">
        <f t="shared" si="1"/>
        <v>0.93333333333333335</v>
      </c>
      <c r="I15" s="38" t="str">
        <f t="shared" si="2"/>
        <v>🟢 DELIVERED</v>
      </c>
    </row>
    <row r="16" spans="1:9" x14ac:dyDescent="0.3">
      <c r="A16" s="29" t="str">
        <f>'Shipment Data'!H16</f>
        <v>Frankfurt → Berlin</v>
      </c>
      <c r="B16" s="30" t="str">
        <f>'Shipment Data'!B16</f>
        <v>Inventory Scanner</v>
      </c>
      <c r="C16" s="23" t="str">
        <f>'Shipment Data'!G16</f>
        <v>In Transit</v>
      </c>
      <c r="D16" s="31">
        <f>'Shipment Data'!E16</f>
        <v>12</v>
      </c>
      <c r="E16" s="32">
        <f>'Shipment Data'!F16</f>
        <v>320</v>
      </c>
      <c r="F16" s="15">
        <f>'Shipment Data'!I16</f>
        <v>0</v>
      </c>
      <c r="G16" s="33" t="str">
        <f t="shared" si="0"/>
        <v>⏳ Pending</v>
      </c>
      <c r="H16" s="32">
        <f t="shared" si="1"/>
        <v>26.666666666666668</v>
      </c>
      <c r="I16" s="33" t="str">
        <f t="shared" si="2"/>
        <v>🟡 IN TRANSIT</v>
      </c>
    </row>
    <row r="17" spans="1:9" x14ac:dyDescent="0.3">
      <c r="A17" s="34" t="str">
        <f>'Shipment Data'!H17</f>
        <v>Cologne → Munich</v>
      </c>
      <c r="B17" s="35" t="str">
        <f>'Shipment Data'!B17</f>
        <v>Industrial Fan</v>
      </c>
      <c r="C17" s="24" t="str">
        <f>'Shipment Data'!G17</f>
        <v>Delayed</v>
      </c>
      <c r="D17" s="36">
        <f>'Shipment Data'!E17</f>
        <v>5</v>
      </c>
      <c r="E17" s="37">
        <f>'Shipment Data'!F17</f>
        <v>260</v>
      </c>
      <c r="F17" s="25">
        <f>'Shipment Data'!I17</f>
        <v>5</v>
      </c>
      <c r="G17" s="38" t="str">
        <f t="shared" si="0"/>
        <v>❌ Delayed</v>
      </c>
      <c r="H17" s="37">
        <f t="shared" si="1"/>
        <v>52</v>
      </c>
      <c r="I17" s="38" t="str">
        <f t="shared" si="2"/>
        <v>🔴 DELAYED</v>
      </c>
    </row>
    <row r="18" spans="1:9" x14ac:dyDescent="0.3">
      <c r="A18" s="29" t="str">
        <f>'Shipment Data'!H18</f>
        <v>Hamburg → Frankfurt</v>
      </c>
      <c r="B18" s="30" t="str">
        <f>'Shipment Data'!B18</f>
        <v>Packaging Tape</v>
      </c>
      <c r="C18" s="17" t="str">
        <f>'Shipment Data'!G18</f>
        <v>Delivered</v>
      </c>
      <c r="D18" s="31">
        <f>'Shipment Data'!E18</f>
        <v>300</v>
      </c>
      <c r="E18" s="32">
        <f>'Shipment Data'!F18</f>
        <v>130</v>
      </c>
      <c r="F18" s="15">
        <f>'Shipment Data'!I18</f>
        <v>0</v>
      </c>
      <c r="G18" s="33" t="str">
        <f t="shared" si="0"/>
        <v>✅ On-Time</v>
      </c>
      <c r="H18" s="32">
        <f t="shared" si="1"/>
        <v>0.43333333333333335</v>
      </c>
      <c r="I18" s="33" t="str">
        <f t="shared" si="2"/>
        <v>🟢 DELIVERED</v>
      </c>
    </row>
    <row r="19" spans="1:9" ht="21.75" customHeight="1" x14ac:dyDescent="0.3">
      <c r="A19" s="7" t="s">
        <v>58</v>
      </c>
      <c r="B19" s="7"/>
      <c r="C19" s="28"/>
      <c r="D19" s="39">
        <f>SUM(D4:D18)</f>
        <v>895</v>
      </c>
      <c r="E19" s="27">
        <f>SUM(E4:E18)</f>
        <v>5280</v>
      </c>
      <c r="F19" s="28"/>
      <c r="G19" s="28"/>
      <c r="H19" s="28"/>
      <c r="I19" s="28"/>
    </row>
  </sheetData>
  <mergeCells count="3">
    <mergeCell ref="A1:I1"/>
    <mergeCell ref="A2:I2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F17"/>
  <sheetViews>
    <sheetView zoomScaleNormal="100" workbookViewId="0">
      <selection sqref="A1:F1"/>
    </sheetView>
  </sheetViews>
  <sheetFormatPr defaultColWidth="8.6640625" defaultRowHeight="14.4" x14ac:dyDescent="0.3"/>
  <cols>
    <col min="1" max="1" width="26" customWidth="1"/>
    <col min="2" max="2" width="16" customWidth="1"/>
    <col min="3" max="3" width="18" customWidth="1"/>
    <col min="4" max="4" width="14" customWidth="1"/>
    <col min="5" max="6" width="16" customWidth="1"/>
  </cols>
  <sheetData>
    <row r="1" spans="1:6" ht="31.5" customHeight="1" x14ac:dyDescent="0.3">
      <c r="A1" s="6" t="s">
        <v>59</v>
      </c>
      <c r="B1" s="6"/>
      <c r="C1" s="6"/>
      <c r="D1" s="6"/>
      <c r="E1" s="6"/>
      <c r="F1" s="6"/>
    </row>
    <row r="2" spans="1:6" ht="18" customHeight="1" x14ac:dyDescent="0.3">
      <c r="A2" s="9" t="s">
        <v>60</v>
      </c>
      <c r="B2" s="9"/>
      <c r="C2" s="9"/>
      <c r="D2" s="9"/>
      <c r="E2" s="9"/>
      <c r="F2" s="9"/>
    </row>
    <row r="3" spans="1:6" ht="39.75" customHeight="1" x14ac:dyDescent="0.3">
      <c r="A3" s="11" t="s">
        <v>61</v>
      </c>
      <c r="B3" s="11" t="s">
        <v>62</v>
      </c>
      <c r="C3" s="11" t="s">
        <v>63</v>
      </c>
      <c r="D3" s="11" t="s">
        <v>64</v>
      </c>
      <c r="E3" s="11" t="s">
        <v>26</v>
      </c>
      <c r="F3" s="11" t="s">
        <v>65</v>
      </c>
    </row>
    <row r="4" spans="1:6" x14ac:dyDescent="0.3">
      <c r="A4" s="40" t="s">
        <v>66</v>
      </c>
      <c r="B4" s="15">
        <v>1</v>
      </c>
      <c r="C4" s="41">
        <v>250</v>
      </c>
      <c r="D4" s="42">
        <v>0</v>
      </c>
      <c r="E4" s="43">
        <v>1</v>
      </c>
      <c r="F4" s="44">
        <f t="shared" ref="F4:F17" si="0">IFERROR(D4/B4,0)</f>
        <v>0</v>
      </c>
    </row>
    <row r="5" spans="1:6" x14ac:dyDescent="0.3">
      <c r="A5" s="45" t="s">
        <v>67</v>
      </c>
      <c r="B5" s="21">
        <v>1</v>
      </c>
      <c r="C5" s="46">
        <v>400</v>
      </c>
      <c r="D5" s="47">
        <v>1</v>
      </c>
      <c r="E5" s="21">
        <v>0</v>
      </c>
      <c r="F5" s="48">
        <f t="shared" si="0"/>
        <v>1</v>
      </c>
    </row>
    <row r="6" spans="1:6" x14ac:dyDescent="0.3">
      <c r="A6" s="40" t="s">
        <v>68</v>
      </c>
      <c r="B6" s="15">
        <v>1</v>
      </c>
      <c r="C6" s="41">
        <v>180</v>
      </c>
      <c r="D6" s="42">
        <v>0</v>
      </c>
      <c r="E6" s="43">
        <v>1</v>
      </c>
      <c r="F6" s="44">
        <f t="shared" si="0"/>
        <v>0</v>
      </c>
    </row>
    <row r="7" spans="1:6" x14ac:dyDescent="0.3">
      <c r="A7" s="45" t="s">
        <v>69</v>
      </c>
      <c r="B7" s="21">
        <v>1</v>
      </c>
      <c r="C7" s="46">
        <v>220</v>
      </c>
      <c r="D7" s="47">
        <v>1</v>
      </c>
      <c r="E7" s="21">
        <v>0</v>
      </c>
      <c r="F7" s="48">
        <f t="shared" si="0"/>
        <v>1</v>
      </c>
    </row>
    <row r="8" spans="1:6" x14ac:dyDescent="0.3">
      <c r="A8" s="40" t="s">
        <v>70</v>
      </c>
      <c r="B8" s="15">
        <v>1</v>
      </c>
      <c r="C8" s="41">
        <v>900</v>
      </c>
      <c r="D8" s="42">
        <v>1</v>
      </c>
      <c r="E8" s="15">
        <v>0</v>
      </c>
      <c r="F8" s="49">
        <f t="shared" si="0"/>
        <v>1</v>
      </c>
    </row>
    <row r="9" spans="1:6" x14ac:dyDescent="0.3">
      <c r="A9" s="45" t="s">
        <v>71</v>
      </c>
      <c r="B9" s="21">
        <v>1</v>
      </c>
      <c r="C9" s="46">
        <v>260</v>
      </c>
      <c r="D9" s="47">
        <v>0</v>
      </c>
      <c r="E9" s="25">
        <v>1</v>
      </c>
      <c r="F9" s="50">
        <f t="shared" si="0"/>
        <v>0</v>
      </c>
    </row>
    <row r="10" spans="1:6" x14ac:dyDescent="0.3">
      <c r="A10" s="40" t="s">
        <v>72</v>
      </c>
      <c r="B10" s="15">
        <v>2</v>
      </c>
      <c r="C10" s="41">
        <v>520</v>
      </c>
      <c r="D10" s="42">
        <v>0</v>
      </c>
      <c r="E10" s="15">
        <v>0</v>
      </c>
      <c r="F10" s="44">
        <f t="shared" si="0"/>
        <v>0</v>
      </c>
    </row>
    <row r="11" spans="1:6" x14ac:dyDescent="0.3">
      <c r="A11" s="45" t="s">
        <v>73</v>
      </c>
      <c r="B11" s="21">
        <v>1</v>
      </c>
      <c r="C11" s="46">
        <v>280</v>
      </c>
      <c r="D11" s="47">
        <v>0</v>
      </c>
      <c r="E11" s="21">
        <v>0</v>
      </c>
      <c r="F11" s="50">
        <f t="shared" si="0"/>
        <v>0</v>
      </c>
    </row>
    <row r="12" spans="1:6" x14ac:dyDescent="0.3">
      <c r="A12" s="40" t="s">
        <v>74</v>
      </c>
      <c r="B12" s="15">
        <v>2</v>
      </c>
      <c r="C12" s="41">
        <v>430</v>
      </c>
      <c r="D12" s="42">
        <v>2</v>
      </c>
      <c r="E12" s="15">
        <v>0</v>
      </c>
      <c r="F12" s="49">
        <f t="shared" si="0"/>
        <v>1</v>
      </c>
    </row>
    <row r="13" spans="1:6" x14ac:dyDescent="0.3">
      <c r="A13" s="45" t="s">
        <v>75</v>
      </c>
      <c r="B13" s="21">
        <v>1</v>
      </c>
      <c r="C13" s="46">
        <v>150</v>
      </c>
      <c r="D13" s="47">
        <v>0</v>
      </c>
      <c r="E13" s="21">
        <v>0</v>
      </c>
      <c r="F13" s="50">
        <f t="shared" si="0"/>
        <v>0</v>
      </c>
    </row>
    <row r="14" spans="1:6" x14ac:dyDescent="0.3">
      <c r="A14" s="40" t="s">
        <v>76</v>
      </c>
      <c r="B14" s="15">
        <v>1</v>
      </c>
      <c r="C14" s="41">
        <v>140</v>
      </c>
      <c r="D14" s="42">
        <v>1</v>
      </c>
      <c r="E14" s="15">
        <v>0</v>
      </c>
      <c r="F14" s="49">
        <f t="shared" si="0"/>
        <v>1</v>
      </c>
    </row>
    <row r="15" spans="1:6" x14ac:dyDescent="0.3">
      <c r="A15" s="45" t="s">
        <v>77</v>
      </c>
      <c r="B15" s="21">
        <v>1</v>
      </c>
      <c r="C15" s="46">
        <v>1200</v>
      </c>
      <c r="D15" s="47">
        <v>1</v>
      </c>
      <c r="E15" s="21">
        <v>0</v>
      </c>
      <c r="F15" s="48">
        <f t="shared" si="0"/>
        <v>1</v>
      </c>
    </row>
    <row r="16" spans="1:6" x14ac:dyDescent="0.3">
      <c r="A16" s="40" t="s">
        <v>78</v>
      </c>
      <c r="B16" s="15">
        <v>1</v>
      </c>
      <c r="C16" s="41">
        <v>350</v>
      </c>
      <c r="D16" s="42">
        <v>1</v>
      </c>
      <c r="E16" s="15">
        <v>0</v>
      </c>
      <c r="F16" s="49">
        <f t="shared" si="0"/>
        <v>1</v>
      </c>
    </row>
    <row r="17" spans="1:6" ht="21.75" customHeight="1" x14ac:dyDescent="0.3">
      <c r="A17" s="26" t="s">
        <v>79</v>
      </c>
      <c r="B17" s="39">
        <f>SUM(B4:B16)</f>
        <v>15</v>
      </c>
      <c r="C17" s="27">
        <f>SUM(C4:C16)</f>
        <v>5280</v>
      </c>
      <c r="D17" s="39">
        <f>SUM(D4:D16)</f>
        <v>8</v>
      </c>
      <c r="E17" s="39">
        <f>SUM(E4:E16)</f>
        <v>3</v>
      </c>
      <c r="F17" s="51">
        <f t="shared" si="0"/>
        <v>0.53333333333333333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20"/>
  <sheetViews>
    <sheetView zoomScaleNormal="100" workbookViewId="0">
      <selection activeCell="D11" sqref="D11"/>
    </sheetView>
  </sheetViews>
  <sheetFormatPr defaultColWidth="8.6640625" defaultRowHeight="14.4" x14ac:dyDescent="0.3"/>
  <cols>
    <col min="1" max="1" width="28" customWidth="1"/>
    <col min="2" max="4" width="22" customWidth="1"/>
  </cols>
  <sheetData>
    <row r="1" spans="1:4" ht="34.5" customHeight="1" x14ac:dyDescent="0.3">
      <c r="A1" s="5" t="s">
        <v>80</v>
      </c>
      <c r="B1" s="5"/>
      <c r="C1" s="5"/>
      <c r="D1" s="5"/>
    </row>
    <row r="2" spans="1:4" x14ac:dyDescent="0.3">
      <c r="A2" s="52" t="s">
        <v>81</v>
      </c>
      <c r="B2" s="52" t="s">
        <v>82</v>
      </c>
      <c r="C2" s="52" t="s">
        <v>83</v>
      </c>
      <c r="D2" s="52" t="s">
        <v>84</v>
      </c>
    </row>
    <row r="3" spans="1:4" ht="21.75" customHeight="1" x14ac:dyDescent="0.3">
      <c r="A3" s="53" t="s">
        <v>85</v>
      </c>
      <c r="B3" s="54">
        <f>COUNTA('Shipment Data'!A4:A18)</f>
        <v>15</v>
      </c>
      <c r="C3" s="55" t="s">
        <v>86</v>
      </c>
      <c r="D3" s="55" t="s">
        <v>87</v>
      </c>
    </row>
    <row r="4" spans="1:4" ht="21.75" customHeight="1" x14ac:dyDescent="0.3">
      <c r="A4" s="56" t="s">
        <v>88</v>
      </c>
      <c r="B4" s="57">
        <f>COUNTIF('Shipment Data'!G4:G18,"Delivered")</f>
        <v>8</v>
      </c>
      <c r="C4" s="58" t="s">
        <v>89</v>
      </c>
      <c r="D4" s="58" t="s">
        <v>90</v>
      </c>
    </row>
    <row r="5" spans="1:4" ht="21.75" customHeight="1" x14ac:dyDescent="0.3">
      <c r="A5" s="53" t="s">
        <v>26</v>
      </c>
      <c r="B5" s="54">
        <f>COUNTIF('Shipment Data'!G4:G18,"Delayed")</f>
        <v>3</v>
      </c>
      <c r="C5" s="55" t="s">
        <v>122</v>
      </c>
      <c r="D5" s="55" t="s">
        <v>91</v>
      </c>
    </row>
    <row r="6" spans="1:4" ht="21.75" customHeight="1" x14ac:dyDescent="0.3">
      <c r="A6" s="56" t="s">
        <v>19</v>
      </c>
      <c r="B6" s="57">
        <f>COUNTIF('Shipment Data'!G4:G18,"In Transit")</f>
        <v>4</v>
      </c>
      <c r="C6" s="58" t="s">
        <v>92</v>
      </c>
      <c r="D6" s="58" t="s">
        <v>93</v>
      </c>
    </row>
    <row r="7" spans="1:4" ht="21.75" customHeight="1" x14ac:dyDescent="0.3">
      <c r="A7" s="53" t="s">
        <v>94</v>
      </c>
      <c r="B7" s="59">
        <f>IFERROR(COUNTIF('Shipment Data'!G4:G18,"Delivered")/COUNTA('Shipment Data'!G4:G18),0)</f>
        <v>0.53333333333333333</v>
      </c>
      <c r="C7" s="55" t="s">
        <v>95</v>
      </c>
      <c r="D7" s="55" t="s">
        <v>96</v>
      </c>
    </row>
    <row r="8" spans="1:4" ht="21.75" customHeight="1" x14ac:dyDescent="0.3">
      <c r="A8" s="56" t="s">
        <v>97</v>
      </c>
      <c r="B8" s="60">
        <f>IFERROR(COUNTIF('Shipment Data'!G4:G18,"Delayed")/COUNTA('Shipment Data'!G4:G18),0)</f>
        <v>0.2</v>
      </c>
      <c r="C8" s="58" t="s">
        <v>98</v>
      </c>
      <c r="D8" s="58" t="s">
        <v>99</v>
      </c>
    </row>
    <row r="9" spans="1:4" ht="21.75" customHeight="1" x14ac:dyDescent="0.3">
      <c r="A9" s="53" t="s">
        <v>100</v>
      </c>
      <c r="B9" s="61">
        <f>SUM('Shipment Data'!F4:F18)</f>
        <v>5280</v>
      </c>
      <c r="C9" s="55" t="s">
        <v>101</v>
      </c>
      <c r="D9" s="55" t="s">
        <v>102</v>
      </c>
    </row>
    <row r="10" spans="1:4" ht="21.75" customHeight="1" x14ac:dyDescent="0.3">
      <c r="A10" s="56" t="s">
        <v>103</v>
      </c>
      <c r="B10" s="62">
        <f>IFERROR(SUM('Shipment Data'!F4:F18)/COUNTA('Shipment Data'!A4:A18),0)</f>
        <v>352</v>
      </c>
      <c r="C10" s="58" t="s">
        <v>104</v>
      </c>
      <c r="D10" s="58" t="s">
        <v>105</v>
      </c>
    </row>
    <row r="11" spans="1:4" ht="21.75" customHeight="1" x14ac:dyDescent="0.3">
      <c r="A11" s="53" t="s">
        <v>106</v>
      </c>
      <c r="B11" s="63">
        <f>SUM('Shipment Data'!E4:E18)</f>
        <v>895</v>
      </c>
      <c r="C11" s="55" t="s">
        <v>107</v>
      </c>
      <c r="D11" s="55" t="s">
        <v>108</v>
      </c>
    </row>
    <row r="12" spans="1:4" ht="21.75" customHeight="1" x14ac:dyDescent="0.3">
      <c r="A12" s="56" t="s">
        <v>109</v>
      </c>
      <c r="B12" s="64">
        <f>IFERROR(AVERAGEIF('Shipment Data'!G4:G18,"Delayed",'Shipment Data'!I4:I18),0)</f>
        <v>3.3333333333333335</v>
      </c>
      <c r="C12" s="58" t="s">
        <v>110</v>
      </c>
      <c r="D12" s="58" t="s">
        <v>111</v>
      </c>
    </row>
    <row r="13" spans="1:4" ht="21.75" customHeight="1" x14ac:dyDescent="0.3">
      <c r="A13" s="53" t="s">
        <v>112</v>
      </c>
      <c r="B13" s="54" t="str">
        <f>INDEX('Route Summary'!A4:A16,MATCH(MAX('Route Summary'!C4:C16),'Route Summary'!C4:C16,0))</f>
        <v>Munich → Stuttgart</v>
      </c>
      <c r="C13" s="55" t="s">
        <v>113</v>
      </c>
      <c r="D13" s="55" t="s">
        <v>114</v>
      </c>
    </row>
    <row r="14" spans="1:4" ht="21.75" customHeight="1" x14ac:dyDescent="0.3">
      <c r="A14" s="56" t="s">
        <v>115</v>
      </c>
      <c r="B14" s="57" t="str">
        <f>INDEX('Route Summary'!A4:A16,MATCH(MAX('Route Summary'!F4:F16),'Route Summary'!F4:F16,0))</f>
        <v>Berlin → Hamburg</v>
      </c>
      <c r="C14" s="58" t="s">
        <v>116</v>
      </c>
      <c r="D14" s="58" t="s">
        <v>117</v>
      </c>
    </row>
    <row r="17" spans="1:4" x14ac:dyDescent="0.3">
      <c r="A17" s="4" t="s">
        <v>118</v>
      </c>
      <c r="B17" s="4"/>
      <c r="C17" s="4"/>
      <c r="D17" s="4"/>
    </row>
    <row r="18" spans="1:4" x14ac:dyDescent="0.3">
      <c r="A18" s="3" t="s">
        <v>119</v>
      </c>
      <c r="B18" s="3"/>
      <c r="C18" s="3"/>
      <c r="D18" s="3"/>
    </row>
    <row r="19" spans="1:4" x14ac:dyDescent="0.3">
      <c r="A19" s="2" t="s">
        <v>120</v>
      </c>
      <c r="B19" s="2"/>
      <c r="C19" s="2"/>
      <c r="D19" s="2"/>
    </row>
    <row r="20" spans="1:4" x14ac:dyDescent="0.3">
      <c r="A20" s="1" t="s">
        <v>121</v>
      </c>
      <c r="B20" s="1"/>
      <c r="C20" s="1"/>
      <c r="D20" s="1"/>
    </row>
  </sheetData>
  <mergeCells count="5">
    <mergeCell ref="A1:D1"/>
    <mergeCell ref="A17:D17"/>
    <mergeCell ref="A18:D18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Shipment Data</vt:lpstr>
      <vt:lpstr>Delivery Analysis</vt:lpstr>
      <vt:lpstr>Route Summary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Ijas Ahamed</cp:lastModifiedBy>
  <cp:revision>1</cp:revision>
  <dcterms:created xsi:type="dcterms:W3CDTF">2026-03-27T03:30:11Z</dcterms:created>
  <dcterms:modified xsi:type="dcterms:W3CDTF">2026-03-27T03:33:48Z</dcterms:modified>
  <dc:language>en-US</dc:language>
</cp:coreProperties>
</file>