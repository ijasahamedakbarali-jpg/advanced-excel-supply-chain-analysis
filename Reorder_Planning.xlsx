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AC734102-57D5-4882-94D8-E13C89ABFD6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ssumptions" sheetId="1" r:id="rId1"/>
    <sheet name="Reorder Planning" sheetId="2" r:id="rId2"/>
    <sheet name="EOQ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8" i="2" l="1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19" i="2" s="1"/>
  <c r="M4" i="2"/>
  <c r="B3" i="3"/>
  <c r="D19" i="2"/>
  <c r="K18" i="2"/>
  <c r="L18" i="2" s="1"/>
  <c r="J18" i="2"/>
  <c r="H18" i="2"/>
  <c r="I18" i="2" s="1"/>
  <c r="K17" i="2"/>
  <c r="L17" i="2" s="1"/>
  <c r="J17" i="2"/>
  <c r="I17" i="2"/>
  <c r="H17" i="2"/>
  <c r="K16" i="2"/>
  <c r="L16" i="2" s="1"/>
  <c r="J16" i="2"/>
  <c r="H16" i="2"/>
  <c r="I16" i="2" s="1"/>
  <c r="K15" i="2"/>
  <c r="L15" i="2" s="1"/>
  <c r="J15" i="2"/>
  <c r="I15" i="2"/>
  <c r="H15" i="2"/>
  <c r="K14" i="2"/>
  <c r="L14" i="2" s="1"/>
  <c r="J14" i="2"/>
  <c r="H14" i="2"/>
  <c r="I14" i="2" s="1"/>
  <c r="K13" i="2"/>
  <c r="L13" i="2" s="1"/>
  <c r="J13" i="2"/>
  <c r="I13" i="2"/>
  <c r="H13" i="2"/>
  <c r="K12" i="2"/>
  <c r="L12" i="2" s="1"/>
  <c r="J12" i="2"/>
  <c r="H12" i="2"/>
  <c r="I12" i="2" s="1"/>
  <c r="K11" i="2"/>
  <c r="L11" i="2" s="1"/>
  <c r="J11" i="2"/>
  <c r="I11" i="2"/>
  <c r="H11" i="2"/>
  <c r="K10" i="2"/>
  <c r="L10" i="2" s="1"/>
  <c r="J10" i="2"/>
  <c r="H10" i="2"/>
  <c r="I10" i="2" s="1"/>
  <c r="K9" i="2"/>
  <c r="L9" i="2" s="1"/>
  <c r="J9" i="2"/>
  <c r="I9" i="2"/>
  <c r="H9" i="2"/>
  <c r="K8" i="2"/>
  <c r="L8" i="2" s="1"/>
  <c r="J8" i="2"/>
  <c r="H8" i="2"/>
  <c r="I8" i="2" s="1"/>
  <c r="K7" i="2"/>
  <c r="L7" i="2" s="1"/>
  <c r="J7" i="2"/>
  <c r="I7" i="2"/>
  <c r="H7" i="2"/>
  <c r="K6" i="2"/>
  <c r="L6" i="2" s="1"/>
  <c r="J6" i="2"/>
  <c r="H6" i="2"/>
  <c r="I6" i="2" s="1"/>
  <c r="K5" i="2"/>
  <c r="K19" i="2" s="1"/>
  <c r="J5" i="2"/>
  <c r="I5" i="2"/>
  <c r="H5" i="2"/>
  <c r="K4" i="2"/>
  <c r="L4" i="2" s="1"/>
  <c r="J4" i="2"/>
  <c r="H4" i="2"/>
  <c r="I4" i="2" s="1"/>
  <c r="B9" i="3" s="1"/>
  <c r="B5" i="3" l="1"/>
  <c r="B4" i="3"/>
  <c r="B6" i="3"/>
  <c r="B7" i="3"/>
  <c r="L5" i="2"/>
  <c r="L19" i="2" s="1"/>
  <c r="B8" i="3" l="1"/>
  <c r="B10" i="3"/>
</calcChain>
</file>

<file path=xl/sharedStrings.xml><?xml version="1.0" encoding="utf-8"?>
<sst xmlns="http://schemas.openxmlformats.org/spreadsheetml/2006/main" count="103" uniqueCount="90">
  <si>
    <t>Reorder Planning – EOQ Assumptions</t>
  </si>
  <si>
    <t>Parameter</t>
  </si>
  <si>
    <t>Value</t>
  </si>
  <si>
    <t>Notes</t>
  </si>
  <si>
    <t>Annual Demand Multiplier</t>
  </si>
  <si>
    <t>Multiply monthly demand to get annual</t>
  </si>
  <si>
    <t>Ordering Cost per Order (€)</t>
  </si>
  <si>
    <t>Fixed cost per purchase order placed</t>
  </si>
  <si>
    <t>Holding Cost Rate (% of price)</t>
  </si>
  <si>
    <t>Annual holding cost as % of unit price</t>
  </si>
  <si>
    <t>Lead Time (days)</t>
  </si>
  <si>
    <t>Supplier delivery lead time in days</t>
  </si>
  <si>
    <t>Safety Stock Buffer (%)</t>
  </si>
  <si>
    <t>Extra buffer above reorder level</t>
  </si>
  <si>
    <t>Working Days per Year</t>
  </si>
  <si>
    <t>Used for daily demand calculation</t>
  </si>
  <si>
    <t>Reorder Planning – Auto-Flag Low Stock &amp; EOQ Calculator</t>
  </si>
  <si>
    <t>EOQ = √(2 × Annual Demand × Ordering Cost / Holding Cost)   |   Purchase Cost = EOQ × Unit Price   |   Low-Stock flagged automatically</t>
  </si>
  <si>
    <t>Product
ID</t>
  </si>
  <si>
    <t>Product Name</t>
  </si>
  <si>
    <t>Supplier</t>
  </si>
  <si>
    <t>Current
Stock</t>
  </si>
  <si>
    <t>Reorder
Level</t>
  </si>
  <si>
    <t>Unit Price
(€)</t>
  </si>
  <si>
    <t>Monthly
Demand</t>
  </si>
  <si>
    <t>Annual
Demand</t>
  </si>
  <si>
    <t>EOQ
(Units)</t>
  </si>
  <si>
    <t>Safety
Stock</t>
  </si>
  <si>
    <t>Reorder
Qty (Units)</t>
  </si>
  <si>
    <t>Purchase
Cost (€)</t>
  </si>
  <si>
    <t>Stock
Status</t>
  </si>
  <si>
    <t>P001</t>
  </si>
  <si>
    <t>Pallet</t>
  </si>
  <si>
    <t>Supplier A</t>
  </si>
  <si>
    <t>P002</t>
  </si>
  <si>
    <t>Packaging Box</t>
  </si>
  <si>
    <t>Supplier B</t>
  </si>
  <si>
    <t>P003</t>
  </si>
  <si>
    <t>Barcode Scanner</t>
  </si>
  <si>
    <t>Supplier C</t>
  </si>
  <si>
    <t>P004</t>
  </si>
  <si>
    <t>Label Printer</t>
  </si>
  <si>
    <t>P005</t>
  </si>
  <si>
    <t>Forklift</t>
  </si>
  <si>
    <t>Supplier D</t>
  </si>
  <si>
    <t>P006</t>
  </si>
  <si>
    <t>Storage Bin</t>
  </si>
  <si>
    <t>P007</t>
  </si>
  <si>
    <t>Conveyor Belt</t>
  </si>
  <si>
    <t>P008</t>
  </si>
  <si>
    <t>Hand Truck</t>
  </si>
  <si>
    <t>P009</t>
  </si>
  <si>
    <t>Pallet Jack</t>
  </si>
  <si>
    <t>P010</t>
  </si>
  <si>
    <t>Shrink Wrap Machine</t>
  </si>
  <si>
    <t>P011</t>
  </si>
  <si>
    <t>Safety Helmet</t>
  </si>
  <si>
    <t>P012</t>
  </si>
  <si>
    <t>Gloves</t>
  </si>
  <si>
    <t>P013</t>
  </si>
  <si>
    <t>Industrial Fan</t>
  </si>
  <si>
    <t>P014</t>
  </si>
  <si>
    <t>Warehouse Scale</t>
  </si>
  <si>
    <t>P015</t>
  </si>
  <si>
    <t>Inventory Scanner</t>
  </si>
  <si>
    <t>TOTALS / SUMMARY</t>
  </si>
  <si>
    <t>EOQ Reorder Summary</t>
  </si>
  <si>
    <t>Metric</t>
  </si>
  <si>
    <t>Total Products Tracked</t>
  </si>
  <si>
    <t>All SKUs in planner</t>
  </si>
  <si>
    <t>Low Stock Items (Need Order)</t>
  </si>
  <si>
    <t>Immediately needs reorder</t>
  </si>
  <si>
    <t>Warning Items (Approaching Low)</t>
  </si>
  <si>
    <t>Monitor closely</t>
  </si>
  <si>
    <t>OK Items</t>
  </si>
  <si>
    <t>Sufficient stock</t>
  </si>
  <si>
    <t>Total Reorder Units Required</t>
  </si>
  <si>
    <t>Sum of all reorder quantities</t>
  </si>
  <si>
    <t>Total Purchase Cost (€)</t>
  </si>
  <si>
    <t>Total cost of orders to place</t>
  </si>
  <si>
    <t>Average EOQ (Units)</t>
  </si>
  <si>
    <t>Average Economic Order Qty</t>
  </si>
  <si>
    <t>Highest Purchase Cost Item</t>
  </si>
  <si>
    <t>Item with highest reorder cost</t>
  </si>
  <si>
    <t>Status Legend</t>
  </si>
  <si>
    <t>Stock ≤ Reorder Level — Order immediately</t>
  </si>
  <si>
    <t>Stock ≤ 120% of Reorder Level — Monitor closely</t>
  </si>
  <si>
    <t>Stock &gt; 120% of Reorder Level — Sufficient</t>
  </si>
  <si>
    <t xml:space="preserve"> LOW STOCK</t>
  </si>
  <si>
    <t xml:space="preserve">                       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</si>
</sst>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€#,##0.0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EBF3FB"/>
      </patternFill>
    </fill>
    <fill>
      <patternFill patternType="solid">
        <fgColor rgb="FFFF0000"/>
        <bgColor rgb="FF993300"/>
      </patternFill>
    </fill>
    <fill>
      <patternFill patternType="solid">
        <fgColor rgb="FFF2F2F2"/>
        <bgColor rgb="FFEBF3FB"/>
      </patternFill>
    </fill>
    <fill>
      <patternFill patternType="solid">
        <fgColor rgb="FFFFD700"/>
        <bgColor rgb="FFFFC000"/>
      </patternFill>
    </fill>
    <fill>
      <patternFill patternType="solid">
        <fgColor rgb="FF70AD47"/>
        <bgColor rgb="FF339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4" fontId="11" fillId="4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000000"/>
        <name val="Arial"/>
        <charset val="1"/>
      </font>
      <fill>
        <patternFill>
          <bgColor rgb="FFFFD7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C0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8"/>
  <sheetViews>
    <sheetView zoomScaleNormal="100" workbookViewId="0">
      <selection activeCell="C5" sqref="C5"/>
    </sheetView>
  </sheetViews>
  <sheetFormatPr defaultColWidth="8.6640625" defaultRowHeight="14.4" x14ac:dyDescent="0.3"/>
  <cols>
    <col min="1" max="1" width="32" customWidth="1"/>
    <col min="2" max="2" width="18" customWidth="1"/>
    <col min="3" max="3" width="28.6640625" bestFit="1" customWidth="1"/>
  </cols>
  <sheetData>
    <row r="1" spans="1:3" ht="30" customHeight="1" x14ac:dyDescent="0.3">
      <c r="A1" s="38" t="s">
        <v>0</v>
      </c>
      <c r="B1" s="38"/>
      <c r="C1" s="38"/>
    </row>
    <row r="2" spans="1:3" x14ac:dyDescent="0.3">
      <c r="A2" s="1" t="s">
        <v>1</v>
      </c>
      <c r="B2" s="1" t="s">
        <v>2</v>
      </c>
      <c r="C2" s="1" t="s">
        <v>3</v>
      </c>
    </row>
    <row r="3" spans="1:3" ht="19.5" customHeight="1" x14ac:dyDescent="0.3">
      <c r="A3" s="2" t="s">
        <v>4</v>
      </c>
      <c r="B3" s="3">
        <v>12</v>
      </c>
      <c r="C3" s="37" t="s">
        <v>5</v>
      </c>
    </row>
    <row r="4" spans="1:3" ht="19.5" customHeight="1" x14ac:dyDescent="0.3">
      <c r="A4" s="2" t="s">
        <v>6</v>
      </c>
      <c r="B4" s="4">
        <v>50</v>
      </c>
      <c r="C4" s="37" t="s">
        <v>7</v>
      </c>
    </row>
    <row r="5" spans="1:3" ht="19.5" customHeight="1" x14ac:dyDescent="0.3">
      <c r="A5" s="2" t="s">
        <v>8</v>
      </c>
      <c r="B5" s="5">
        <v>0.2</v>
      </c>
      <c r="C5" s="37" t="s">
        <v>9</v>
      </c>
    </row>
    <row r="6" spans="1:3" ht="19.5" customHeight="1" x14ac:dyDescent="0.3">
      <c r="A6" s="2" t="s">
        <v>10</v>
      </c>
      <c r="B6" s="3">
        <v>7</v>
      </c>
      <c r="C6" s="37" t="s">
        <v>11</v>
      </c>
    </row>
    <row r="7" spans="1:3" ht="19.5" customHeight="1" x14ac:dyDescent="0.3">
      <c r="A7" s="2" t="s">
        <v>12</v>
      </c>
      <c r="B7" s="5">
        <v>0.1</v>
      </c>
      <c r="C7" s="37" t="s">
        <v>13</v>
      </c>
    </row>
    <row r="8" spans="1:3" ht="19.5" customHeight="1" x14ac:dyDescent="0.3">
      <c r="A8" s="2" t="s">
        <v>14</v>
      </c>
      <c r="B8" s="3">
        <v>250</v>
      </c>
      <c r="C8" s="37" t="s">
        <v>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19"/>
  <sheetViews>
    <sheetView tabSelected="1" zoomScaleNormal="100" workbookViewId="0">
      <pane ySplit="3" topLeftCell="A4" activePane="bottomLeft" state="frozen"/>
      <selection pane="bottomLeft" activeCell="M19" sqref="M19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1" width="16" customWidth="1"/>
    <col min="12" max="13" width="18" customWidth="1"/>
  </cols>
  <sheetData>
    <row r="1" spans="1:13" ht="34.5" customHeight="1" x14ac:dyDescent="0.3">
      <c r="A1" s="38" t="s">
        <v>16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9.5" customHeight="1" x14ac:dyDescent="0.3">
      <c r="A2" s="39" t="s">
        <v>17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39.75" customHeight="1" x14ac:dyDescent="0.3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</row>
    <row r="4" spans="1:13" x14ac:dyDescent="0.3">
      <c r="A4" s="7" t="s">
        <v>31</v>
      </c>
      <c r="B4" s="8" t="s">
        <v>32</v>
      </c>
      <c r="C4" s="9" t="s">
        <v>33</v>
      </c>
      <c r="D4" s="10">
        <v>50</v>
      </c>
      <c r="E4" s="10">
        <v>20</v>
      </c>
      <c r="F4" s="11">
        <v>100</v>
      </c>
      <c r="G4" s="10">
        <v>40</v>
      </c>
      <c r="H4" s="12">
        <f>G4*Assumptions!$B$3</f>
        <v>480</v>
      </c>
      <c r="I4" s="12">
        <f>ROUND(SQRT((2*H4*Assumptions!$B$4)/(Assumptions!$B$5*F4)),0)</f>
        <v>49</v>
      </c>
      <c r="J4" s="12">
        <f>ROUND(E4*Assumptions!$B$7,0)</f>
        <v>2</v>
      </c>
      <c r="K4" s="12">
        <f t="shared" ref="K4:K18" si="0">IF(D4&lt;=E4,MAX(I4,E4+J4-D4),0)</f>
        <v>0</v>
      </c>
      <c r="L4" s="13">
        <f t="shared" ref="L4:L18" si="1">K4*F4</f>
        <v>0</v>
      </c>
      <c r="M4" s="14" t="str">
        <f>IF(D4&lt;=E4,"🔴 LOW STOCK",IF(D4&lt;=E4*1.2,"⚠️ WARNING"," OK"))</f>
        <v xml:space="preserve"> OK</v>
      </c>
    </row>
    <row r="5" spans="1:13" x14ac:dyDescent="0.3">
      <c r="A5" s="15" t="s">
        <v>34</v>
      </c>
      <c r="B5" s="16" t="s">
        <v>35</v>
      </c>
      <c r="C5" s="17" t="s">
        <v>36</v>
      </c>
      <c r="D5" s="18">
        <v>200</v>
      </c>
      <c r="E5" s="18">
        <v>100</v>
      </c>
      <c r="F5" s="19">
        <v>5</v>
      </c>
      <c r="G5" s="18">
        <v>180</v>
      </c>
      <c r="H5" s="20">
        <f>G5*Assumptions!$B$3</f>
        <v>2160</v>
      </c>
      <c r="I5" s="20">
        <f>ROUND(SQRT((2*H5*Assumptions!$B$4)/(Assumptions!$B$5*F5)),0)</f>
        <v>465</v>
      </c>
      <c r="J5" s="20">
        <f>ROUND(E5*Assumptions!$B$7,0)</f>
        <v>10</v>
      </c>
      <c r="K5" s="20">
        <f t="shared" si="0"/>
        <v>0</v>
      </c>
      <c r="L5" s="21">
        <f t="shared" si="1"/>
        <v>0</v>
      </c>
      <c r="M5" s="22" t="str">
        <f>IF(D5&lt;=E5,"🔴 LOW STOCK",IF(D5&lt;=E5*1.2,"⚠️ WARNING"," OK"))</f>
        <v xml:space="preserve"> OK</v>
      </c>
    </row>
    <row r="6" spans="1:13" x14ac:dyDescent="0.3">
      <c r="A6" s="7" t="s">
        <v>37</v>
      </c>
      <c r="B6" s="8" t="s">
        <v>38</v>
      </c>
      <c r="C6" s="9" t="s">
        <v>39</v>
      </c>
      <c r="D6" s="10">
        <v>15</v>
      </c>
      <c r="E6" s="10">
        <v>10</v>
      </c>
      <c r="F6" s="11">
        <v>250</v>
      </c>
      <c r="G6" s="10">
        <v>10</v>
      </c>
      <c r="H6" s="12">
        <f>G6*Assumptions!$B$3</f>
        <v>120</v>
      </c>
      <c r="I6" s="12">
        <f>ROUND(SQRT((2*H6*Assumptions!$B$4)/(Assumptions!$B$5*F6)),0)</f>
        <v>15</v>
      </c>
      <c r="J6" s="12">
        <f>ROUND(E6*Assumptions!$B$7,0)</f>
        <v>1</v>
      </c>
      <c r="K6" s="12">
        <f t="shared" si="0"/>
        <v>0</v>
      </c>
      <c r="L6" s="13">
        <f t="shared" si="1"/>
        <v>0</v>
      </c>
      <c r="M6" s="14" t="str">
        <f>IF(D6&lt;=E6,"🔴 LOW STOCK",IF(D6&lt;=E6*1.2,"⚠️ WARNING"," OK"))</f>
        <v xml:space="preserve"> OK</v>
      </c>
    </row>
    <row r="7" spans="1:13" x14ac:dyDescent="0.3">
      <c r="A7" s="15" t="s">
        <v>40</v>
      </c>
      <c r="B7" s="16" t="s">
        <v>41</v>
      </c>
      <c r="C7" s="17" t="s">
        <v>33</v>
      </c>
      <c r="D7" s="18">
        <v>10</v>
      </c>
      <c r="E7" s="18">
        <v>5</v>
      </c>
      <c r="F7" s="19">
        <v>400</v>
      </c>
      <c r="G7" s="18">
        <v>8</v>
      </c>
      <c r="H7" s="20">
        <f>G7*Assumptions!$B$3</f>
        <v>96</v>
      </c>
      <c r="I7" s="20">
        <f>ROUND(SQRT((2*H7*Assumptions!$B$4)/(Assumptions!$B$5*F7)),0)</f>
        <v>11</v>
      </c>
      <c r="J7" s="20">
        <f>ROUND(E7*Assumptions!$B$7,0)</f>
        <v>1</v>
      </c>
      <c r="K7" s="20">
        <f t="shared" si="0"/>
        <v>0</v>
      </c>
      <c r="L7" s="21">
        <f t="shared" si="1"/>
        <v>0</v>
      </c>
      <c r="M7" s="22" t="str">
        <f>IF(D7&lt;=E7,"🔴 LOW STOCK",IF(D7&lt;=E7*1.2,"⚠️ WARNING"," OK"))</f>
        <v xml:space="preserve"> OK</v>
      </c>
    </row>
    <row r="8" spans="1:13" x14ac:dyDescent="0.3">
      <c r="A8" s="7" t="s">
        <v>42</v>
      </c>
      <c r="B8" s="8" t="s">
        <v>43</v>
      </c>
      <c r="C8" s="9" t="s">
        <v>44</v>
      </c>
      <c r="D8" s="10">
        <v>3</v>
      </c>
      <c r="E8" s="10">
        <v>2</v>
      </c>
      <c r="F8" s="11">
        <v>12000</v>
      </c>
      <c r="G8" s="10">
        <v>2</v>
      </c>
      <c r="H8" s="12">
        <f>G8*Assumptions!$B$3</f>
        <v>24</v>
      </c>
      <c r="I8" s="12">
        <f>ROUND(SQRT((2*H8*Assumptions!$B$4)/(Assumptions!$B$5*F8)),0)</f>
        <v>1</v>
      </c>
      <c r="J8" s="12">
        <f>ROUND(E8*Assumptions!$B$7,0)</f>
        <v>0</v>
      </c>
      <c r="K8" s="12">
        <f t="shared" si="0"/>
        <v>0</v>
      </c>
      <c r="L8" s="13">
        <f t="shared" si="1"/>
        <v>0</v>
      </c>
      <c r="M8" s="14" t="str">
        <f>IF(D8&lt;=E8,"🔴 LOW STOCK",IF(D8&lt;=E8*1.2,"⚠️ WARNING"," OK"))</f>
        <v xml:space="preserve"> OK</v>
      </c>
    </row>
    <row r="9" spans="1:13" x14ac:dyDescent="0.3">
      <c r="A9" s="15" t="s">
        <v>45</v>
      </c>
      <c r="B9" s="16" t="s">
        <v>46</v>
      </c>
      <c r="C9" s="17" t="s">
        <v>36</v>
      </c>
      <c r="D9" s="18">
        <v>80</v>
      </c>
      <c r="E9" s="18">
        <v>40</v>
      </c>
      <c r="F9" s="19">
        <v>20</v>
      </c>
      <c r="G9" s="18">
        <v>60</v>
      </c>
      <c r="H9" s="20">
        <f>G9*Assumptions!$B$3</f>
        <v>720</v>
      </c>
      <c r="I9" s="20">
        <f>ROUND(SQRT((2*H9*Assumptions!$B$4)/(Assumptions!$B$5*F9)),0)</f>
        <v>134</v>
      </c>
      <c r="J9" s="20">
        <f>ROUND(E9*Assumptions!$B$7,0)</f>
        <v>4</v>
      </c>
      <c r="K9" s="20">
        <f t="shared" si="0"/>
        <v>0</v>
      </c>
      <c r="L9" s="21">
        <f t="shared" si="1"/>
        <v>0</v>
      </c>
      <c r="M9" s="22" t="str">
        <f>IF(D9&lt;=E9,"🔴 LOW STOCK",IF(D9&lt;=E9*1.2,"⚠️ WARNING"," OK"))</f>
        <v xml:space="preserve"> OK</v>
      </c>
    </row>
    <row r="10" spans="1:13" x14ac:dyDescent="0.3">
      <c r="A10" s="7" t="s">
        <v>47</v>
      </c>
      <c r="B10" s="8" t="s">
        <v>48</v>
      </c>
      <c r="C10" s="9" t="s">
        <v>39</v>
      </c>
      <c r="D10" s="10">
        <v>5</v>
      </c>
      <c r="E10" s="10">
        <v>3</v>
      </c>
      <c r="F10" s="11">
        <v>5000</v>
      </c>
      <c r="G10" s="10">
        <v>4</v>
      </c>
      <c r="H10" s="12">
        <f>G10*Assumptions!$B$3</f>
        <v>48</v>
      </c>
      <c r="I10" s="12">
        <f>ROUND(SQRT((2*H10*Assumptions!$B$4)/(Assumptions!$B$5*F10)),0)</f>
        <v>2</v>
      </c>
      <c r="J10" s="12">
        <f>ROUND(E10*Assumptions!$B$7,0)</f>
        <v>0</v>
      </c>
      <c r="K10" s="12">
        <f t="shared" si="0"/>
        <v>0</v>
      </c>
      <c r="L10" s="13">
        <f t="shared" si="1"/>
        <v>0</v>
      </c>
      <c r="M10" s="14" t="str">
        <f>IF(D10&lt;=E10,"🔴 LOW STOCK",IF(D10&lt;=E10*1.2,"⚠️ WARNING"," OK"))</f>
        <v xml:space="preserve"> OK</v>
      </c>
    </row>
    <row r="11" spans="1:13" x14ac:dyDescent="0.3">
      <c r="A11" s="15" t="s">
        <v>49</v>
      </c>
      <c r="B11" s="16" t="s">
        <v>50</v>
      </c>
      <c r="C11" s="17" t="s">
        <v>33</v>
      </c>
      <c r="D11" s="18">
        <v>12</v>
      </c>
      <c r="E11" s="18">
        <v>5</v>
      </c>
      <c r="F11" s="19">
        <v>150</v>
      </c>
      <c r="G11" s="18">
        <v>10</v>
      </c>
      <c r="H11" s="20">
        <f>G11*Assumptions!$B$3</f>
        <v>120</v>
      </c>
      <c r="I11" s="20">
        <f>ROUND(SQRT((2*H11*Assumptions!$B$4)/(Assumptions!$B$5*F11)),0)</f>
        <v>20</v>
      </c>
      <c r="J11" s="20">
        <f>ROUND(E11*Assumptions!$B$7,0)</f>
        <v>1</v>
      </c>
      <c r="K11" s="20">
        <f t="shared" si="0"/>
        <v>0</v>
      </c>
      <c r="L11" s="21">
        <f t="shared" si="1"/>
        <v>0</v>
      </c>
      <c r="M11" s="22" t="str">
        <f>IF(D11&lt;=E11,"🔴 LOW STOCK",IF(D11&lt;=E11*1.2,"⚠️ WARNING"," OK"))</f>
        <v xml:space="preserve"> OK</v>
      </c>
    </row>
    <row r="12" spans="1:13" x14ac:dyDescent="0.3">
      <c r="A12" s="7" t="s">
        <v>51</v>
      </c>
      <c r="B12" s="8" t="s">
        <v>52</v>
      </c>
      <c r="C12" s="9" t="s">
        <v>44</v>
      </c>
      <c r="D12" s="10">
        <v>7</v>
      </c>
      <c r="E12" s="10">
        <v>3</v>
      </c>
      <c r="F12" s="11">
        <v>300</v>
      </c>
      <c r="G12" s="10">
        <v>6</v>
      </c>
      <c r="H12" s="12">
        <f>G12*Assumptions!$B$3</f>
        <v>72</v>
      </c>
      <c r="I12" s="12">
        <f>ROUND(SQRT((2*H12*Assumptions!$B$4)/(Assumptions!$B$5*F12)),0)</f>
        <v>11</v>
      </c>
      <c r="J12" s="12">
        <f>ROUND(E12*Assumptions!$B$7,0)</f>
        <v>0</v>
      </c>
      <c r="K12" s="12">
        <f t="shared" si="0"/>
        <v>0</v>
      </c>
      <c r="L12" s="13">
        <f t="shared" si="1"/>
        <v>0</v>
      </c>
      <c r="M12" s="14" t="str">
        <f>IF(D12&lt;=E12,"🔴 LOW STOCK",IF(D12&lt;=E12*1.2,"⚠️ WARNING"," OK"))</f>
        <v xml:space="preserve"> OK</v>
      </c>
    </row>
    <row r="13" spans="1:13" x14ac:dyDescent="0.3">
      <c r="A13" s="15" t="s">
        <v>53</v>
      </c>
      <c r="B13" s="16" t="s">
        <v>54</v>
      </c>
      <c r="C13" s="17" t="s">
        <v>36</v>
      </c>
      <c r="D13" s="18">
        <v>2</v>
      </c>
      <c r="E13" s="18">
        <v>1</v>
      </c>
      <c r="F13" s="19">
        <v>2500</v>
      </c>
      <c r="G13" s="18">
        <v>2</v>
      </c>
      <c r="H13" s="20">
        <f>G13*Assumptions!$B$3</f>
        <v>24</v>
      </c>
      <c r="I13" s="20">
        <f>ROUND(SQRT((2*H13*Assumptions!$B$4)/(Assumptions!$B$5*F13)),0)</f>
        <v>2</v>
      </c>
      <c r="J13" s="20">
        <f>ROUND(E13*Assumptions!$B$7,0)</f>
        <v>0</v>
      </c>
      <c r="K13" s="20">
        <f t="shared" si="0"/>
        <v>0</v>
      </c>
      <c r="L13" s="21">
        <f t="shared" si="1"/>
        <v>0</v>
      </c>
      <c r="M13" s="22" t="str">
        <f>IF(D13&lt;=E13,"🔴 LOW STOCK",IF(D13&lt;=E13*1.2,"⚠️ WARNING"," OK"))</f>
        <v xml:space="preserve"> OK</v>
      </c>
    </row>
    <row r="14" spans="1:13" x14ac:dyDescent="0.3">
      <c r="A14" s="7" t="s">
        <v>55</v>
      </c>
      <c r="B14" s="8" t="s">
        <v>56</v>
      </c>
      <c r="C14" s="9" t="s">
        <v>39</v>
      </c>
      <c r="D14" s="10">
        <v>60</v>
      </c>
      <c r="E14" s="10">
        <v>30</v>
      </c>
      <c r="F14" s="11">
        <v>25</v>
      </c>
      <c r="G14" s="10">
        <v>50</v>
      </c>
      <c r="H14" s="12">
        <f>G14*Assumptions!$B$3</f>
        <v>600</v>
      </c>
      <c r="I14" s="12">
        <f>ROUND(SQRT((2*H14*Assumptions!$B$4)/(Assumptions!$B$5*F14)),0)</f>
        <v>110</v>
      </c>
      <c r="J14" s="12">
        <f>ROUND(E14*Assumptions!$B$7,0)</f>
        <v>3</v>
      </c>
      <c r="K14" s="12">
        <f t="shared" si="0"/>
        <v>0</v>
      </c>
      <c r="L14" s="13">
        <f t="shared" si="1"/>
        <v>0</v>
      </c>
      <c r="M14" s="14" t="str">
        <f>IF(D14&lt;=E14,"🔴 LOW STOCK",IF(D14&lt;=E14*1.2,"⚠️ WARNING"," OK"))</f>
        <v xml:space="preserve"> OK</v>
      </c>
    </row>
    <row r="15" spans="1:13" x14ac:dyDescent="0.3">
      <c r="A15" s="15" t="s">
        <v>57</v>
      </c>
      <c r="B15" s="16" t="s">
        <v>58</v>
      </c>
      <c r="C15" s="17" t="s">
        <v>33</v>
      </c>
      <c r="D15" s="18">
        <v>150</v>
      </c>
      <c r="E15" s="18">
        <v>70</v>
      </c>
      <c r="F15" s="19">
        <v>10</v>
      </c>
      <c r="G15" s="18">
        <v>120</v>
      </c>
      <c r="H15" s="20">
        <f>G15*Assumptions!$B$3</f>
        <v>1440</v>
      </c>
      <c r="I15" s="20">
        <f>ROUND(SQRT((2*H15*Assumptions!$B$4)/(Assumptions!$B$5*F15)),0)</f>
        <v>268</v>
      </c>
      <c r="J15" s="20">
        <f>ROUND(E15*Assumptions!$B$7,0)</f>
        <v>7</v>
      </c>
      <c r="K15" s="20">
        <f t="shared" si="0"/>
        <v>0</v>
      </c>
      <c r="L15" s="21">
        <f t="shared" si="1"/>
        <v>0</v>
      </c>
      <c r="M15" s="22" t="str">
        <f>IF(D15&lt;=E15,"🔴 LOW STOCK",IF(D15&lt;=E15*1.2,"⚠️ WARNING"," OK"))</f>
        <v xml:space="preserve"> OK</v>
      </c>
    </row>
    <row r="16" spans="1:13" x14ac:dyDescent="0.3">
      <c r="A16" s="7" t="s">
        <v>59</v>
      </c>
      <c r="B16" s="8" t="s">
        <v>60</v>
      </c>
      <c r="C16" s="9" t="s">
        <v>44</v>
      </c>
      <c r="D16" s="10">
        <v>8</v>
      </c>
      <c r="E16" s="10">
        <v>5</v>
      </c>
      <c r="F16" s="11">
        <v>400</v>
      </c>
      <c r="G16" s="10">
        <v>6</v>
      </c>
      <c r="H16" s="12">
        <f>G16*Assumptions!$B$3</f>
        <v>72</v>
      </c>
      <c r="I16" s="12">
        <f>ROUND(SQRT((2*H16*Assumptions!$B$4)/(Assumptions!$B$5*F16)),0)</f>
        <v>9</v>
      </c>
      <c r="J16" s="12">
        <f>ROUND(E16*Assumptions!$B$7,0)</f>
        <v>1</v>
      </c>
      <c r="K16" s="12">
        <f t="shared" si="0"/>
        <v>0</v>
      </c>
      <c r="L16" s="13">
        <f t="shared" si="1"/>
        <v>0</v>
      </c>
      <c r="M16" s="14" t="str">
        <f>IF(D16&lt;=E16,"🔴 LOW STOCK",IF(D16&lt;=E16*1.2,"⚠️ WARNING","OK"))</f>
        <v>OK</v>
      </c>
    </row>
    <row r="17" spans="1:13" x14ac:dyDescent="0.3">
      <c r="A17" s="15" t="s">
        <v>61</v>
      </c>
      <c r="B17" s="16" t="s">
        <v>62</v>
      </c>
      <c r="C17" s="17" t="s">
        <v>36</v>
      </c>
      <c r="D17" s="18">
        <v>6</v>
      </c>
      <c r="E17" s="18">
        <v>3</v>
      </c>
      <c r="F17" s="19">
        <v>600</v>
      </c>
      <c r="G17" s="18">
        <v>5</v>
      </c>
      <c r="H17" s="20">
        <f>G17*Assumptions!$B$3</f>
        <v>60</v>
      </c>
      <c r="I17" s="20">
        <f>ROUND(SQRT((2*H17*Assumptions!$B$4)/(Assumptions!$B$5*F17)),0)</f>
        <v>7</v>
      </c>
      <c r="J17" s="20">
        <f>ROUND(E17*Assumptions!$B$7,0)</f>
        <v>0</v>
      </c>
      <c r="K17" s="20">
        <f t="shared" si="0"/>
        <v>0</v>
      </c>
      <c r="L17" s="21">
        <f t="shared" si="1"/>
        <v>0</v>
      </c>
      <c r="M17" s="22" t="str">
        <f>IF(D17&lt;=E17,"🔴 LOW STOCK",IF(D17&lt;=E17*1.2,"⚠️ WARNING","OK"))</f>
        <v>OK</v>
      </c>
    </row>
    <row r="18" spans="1:13" ht="18" customHeight="1" x14ac:dyDescent="0.3">
      <c r="A18" s="7" t="s">
        <v>63</v>
      </c>
      <c r="B18" s="8" t="s">
        <v>64</v>
      </c>
      <c r="C18" s="9" t="s">
        <v>39</v>
      </c>
      <c r="D18" s="10">
        <v>10</v>
      </c>
      <c r="E18" s="10">
        <v>5</v>
      </c>
      <c r="F18" s="11">
        <v>350</v>
      </c>
      <c r="G18" s="10">
        <v>8</v>
      </c>
      <c r="H18" s="12">
        <f>G18*Assumptions!$B$3</f>
        <v>96</v>
      </c>
      <c r="I18" s="12">
        <f>ROUND(SQRT((2*H18*Assumptions!$B$4)/(Assumptions!$B$5*F18)),0)</f>
        <v>12</v>
      </c>
      <c r="J18" s="12">
        <f>ROUND(E18*Assumptions!$B$7,0)</f>
        <v>1</v>
      </c>
      <c r="K18" s="12">
        <f t="shared" si="0"/>
        <v>0</v>
      </c>
      <c r="L18" s="13">
        <f t="shared" si="1"/>
        <v>0</v>
      </c>
      <c r="M18" s="14" t="str">
        <f>IF(D18&lt;=E18,"🔴 LOW STOCK",IF(D18&lt;=E18*1.2,"⚠️ WARNING"," OK"))</f>
        <v xml:space="preserve"> OK</v>
      </c>
    </row>
    <row r="19" spans="1:13" ht="21.75" customHeight="1" x14ac:dyDescent="0.3">
      <c r="A19" s="40" t="s">
        <v>65</v>
      </c>
      <c r="B19" s="40"/>
      <c r="C19" s="40"/>
      <c r="D19" s="23">
        <f>SUM(D4:D18)</f>
        <v>618</v>
      </c>
      <c r="E19" s="24"/>
      <c r="F19" s="24"/>
      <c r="G19" s="24"/>
      <c r="H19" s="24"/>
      <c r="I19" s="24"/>
      <c r="J19" s="24"/>
      <c r="K19" s="23">
        <f>SUM(K4:K18)</f>
        <v>0</v>
      </c>
      <c r="L19" s="25">
        <f>SUM(L4:L18)</f>
        <v>0</v>
      </c>
      <c r="M19" s="24" t="str">
        <f>COUNTIF(M4:M18,"🔴 LOW STOCK")&amp;" Low Stock Items"</f>
        <v>0 Low Stock Items</v>
      </c>
    </row>
  </sheetData>
  <mergeCells count="3">
    <mergeCell ref="A1:M1"/>
    <mergeCell ref="A2:M2"/>
    <mergeCell ref="A19:C19"/>
  </mergeCells>
  <conditionalFormatting sqref="M4:M18">
    <cfRule type="expression" dxfId="2" priority="2">
      <formula>ISNUMBER(SEARCH("LOW STOCK",M4))</formula>
    </cfRule>
    <cfRule type="expression" dxfId="1" priority="3">
      <formula>ISNUMBER(SEARCH("WARNING",M4))</formula>
    </cfRule>
    <cfRule type="expression" dxfId="0" priority="4">
      <formula>ISNUMBER(SEARCH("OK",M4))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16"/>
  <sheetViews>
    <sheetView zoomScaleNormal="100" workbookViewId="0">
      <selection activeCell="G17" sqref="G17"/>
    </sheetView>
  </sheetViews>
  <sheetFormatPr defaultColWidth="8.6640625" defaultRowHeight="14.4" x14ac:dyDescent="0.3"/>
  <cols>
    <col min="1" max="1" width="30" customWidth="1"/>
    <col min="2" max="3" width="22" customWidth="1"/>
  </cols>
  <sheetData>
    <row r="1" spans="1:3" ht="30" customHeight="1" x14ac:dyDescent="0.3">
      <c r="A1" s="41" t="s">
        <v>66</v>
      </c>
      <c r="B1" s="41"/>
      <c r="C1" s="41"/>
    </row>
    <row r="2" spans="1:3" x14ac:dyDescent="0.3">
      <c r="A2" s="1" t="s">
        <v>67</v>
      </c>
      <c r="B2" s="1" t="s">
        <v>2</v>
      </c>
      <c r="C2" s="1" t="s">
        <v>3</v>
      </c>
    </row>
    <row r="3" spans="1:3" x14ac:dyDescent="0.3">
      <c r="A3" s="2" t="s">
        <v>68</v>
      </c>
      <c r="B3" s="26">
        <f>COUNTA('Reorder Planning'!A4:A18)</f>
        <v>15</v>
      </c>
      <c r="C3" s="35" t="s">
        <v>69</v>
      </c>
    </row>
    <row r="4" spans="1:3" x14ac:dyDescent="0.3">
      <c r="A4" s="27" t="s">
        <v>70</v>
      </c>
      <c r="B4" s="28">
        <f>COUNTIF('Reorder Planning'!M4:M18,"🔴 LOW STOCK")</f>
        <v>0</v>
      </c>
      <c r="C4" s="36" t="s">
        <v>71</v>
      </c>
    </row>
    <row r="5" spans="1:3" x14ac:dyDescent="0.3">
      <c r="A5" s="2" t="s">
        <v>72</v>
      </c>
      <c r="B5" s="26">
        <f>COUNTIF('Reorder Planning'!M4:M18,"⚠️ WARNING")</f>
        <v>0</v>
      </c>
      <c r="C5" s="35" t="s">
        <v>73</v>
      </c>
    </row>
    <row r="6" spans="1:3" x14ac:dyDescent="0.3">
      <c r="A6" s="27" t="s">
        <v>74</v>
      </c>
      <c r="B6" s="28">
        <f>COUNTIF('Reorder Planning'!M4:M18,"✅ OK")</f>
        <v>0</v>
      </c>
      <c r="C6" s="36" t="s">
        <v>75</v>
      </c>
    </row>
    <row r="7" spans="1:3" x14ac:dyDescent="0.3">
      <c r="A7" s="2" t="s">
        <v>76</v>
      </c>
      <c r="B7" s="29">
        <f>SUM('Reorder Planning'!K4:K18)</f>
        <v>0</v>
      </c>
      <c r="C7" s="35" t="s">
        <v>77</v>
      </c>
    </row>
    <row r="8" spans="1:3" x14ac:dyDescent="0.3">
      <c r="A8" s="27" t="s">
        <v>78</v>
      </c>
      <c r="B8" s="30">
        <f>SUM('Reorder Planning'!L4:L18)</f>
        <v>0</v>
      </c>
      <c r="C8" s="36" t="s">
        <v>79</v>
      </c>
    </row>
    <row r="9" spans="1:3" x14ac:dyDescent="0.3">
      <c r="A9" s="2" t="s">
        <v>80</v>
      </c>
      <c r="B9" s="31">
        <f>AVERAGE('Reorder Planning'!I4:I18)</f>
        <v>74.400000000000006</v>
      </c>
      <c r="C9" s="35" t="s">
        <v>81</v>
      </c>
    </row>
    <row r="10" spans="1:3" x14ac:dyDescent="0.3">
      <c r="A10" s="27" t="s">
        <v>82</v>
      </c>
      <c r="B10" s="28" t="str">
        <f>INDEX('Reorder Planning'!B4:B18,MATCH(MAX('Reorder Planning'!L4:L18),'Reorder Planning'!L4:L18,0))</f>
        <v>Pallet</v>
      </c>
      <c r="C10" s="36" t="s">
        <v>83</v>
      </c>
    </row>
    <row r="13" spans="1:3" x14ac:dyDescent="0.3">
      <c r="A13" s="42" t="s">
        <v>84</v>
      </c>
      <c r="B13" s="42"/>
      <c r="C13" s="42"/>
    </row>
    <row r="14" spans="1:3" x14ac:dyDescent="0.3">
      <c r="A14" s="32" t="s">
        <v>88</v>
      </c>
      <c r="B14" s="43" t="s">
        <v>85</v>
      </c>
      <c r="C14" s="43"/>
    </row>
    <row r="15" spans="1:3" x14ac:dyDescent="0.3">
      <c r="A15" s="33" t="s">
        <v>89</v>
      </c>
      <c r="B15" s="43" t="s">
        <v>86</v>
      </c>
      <c r="C15" s="43"/>
    </row>
    <row r="16" spans="1:3" x14ac:dyDescent="0.3">
      <c r="A16" s="34"/>
      <c r="B16" s="43" t="s">
        <v>87</v>
      </c>
      <c r="C16" s="43"/>
    </row>
  </sheetData>
  <mergeCells count="5">
    <mergeCell ref="A1:C1"/>
    <mergeCell ref="A13:C13"/>
    <mergeCell ref="B14:C14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Reorder Planning</vt:lpstr>
      <vt:lpstr>EOQ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Ijas Ahamed</cp:lastModifiedBy>
  <cp:revision>0</cp:revision>
  <dcterms:created xsi:type="dcterms:W3CDTF">2026-03-27T03:14:43Z</dcterms:created>
  <dcterms:modified xsi:type="dcterms:W3CDTF">2026-03-27T05:47:09Z</dcterms:modified>
  <dc:language>en-US</dc:language>
</cp:coreProperties>
</file>