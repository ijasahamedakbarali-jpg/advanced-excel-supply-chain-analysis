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8_{8CE4D319-39AF-42B5-B335-3AFD48910DD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Inventory" sheetId="2" r:id="rId2"/>
    <sheet name="Shipments" sheetId="3" r:id="rId3"/>
    <sheet name="Supplier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4" l="1"/>
  <c r="C9" i="4"/>
  <c r="G19" i="3"/>
  <c r="F19" i="3"/>
  <c r="H19" i="2"/>
  <c r="E19" i="2"/>
  <c r="D25" i="1"/>
  <c r="C25" i="1"/>
  <c r="D16" i="1"/>
  <c r="C16" i="1"/>
  <c r="H15" i="1"/>
  <c r="G15" i="1"/>
  <c r="H7" i="1"/>
  <c r="G7" i="1"/>
  <c r="F7" i="1"/>
  <c r="D7" i="1"/>
  <c r="C7" i="1"/>
  <c r="B7" i="1"/>
</calcChain>
</file>

<file path=xl/sharedStrings.xml><?xml version="1.0" encoding="utf-8"?>
<sst xmlns="http://schemas.openxmlformats.org/spreadsheetml/2006/main" count="253" uniqueCount="124">
  <si>
    <t>Supplier</t>
  </si>
  <si>
    <t>Inv Value</t>
  </si>
  <si>
    <t>Supplier A</t>
  </si>
  <si>
    <t xml:space="preserve">  Source: Supply_Chain_Inventory  |  Shipment_Tracking  |  Supplier_Performance</t>
  </si>
  <si>
    <t>Supplier B</t>
  </si>
  <si>
    <t>Supplier C</t>
  </si>
  <si>
    <t xml:space="preserve">  KEY PERFORMANCE INDICATORS</t>
  </si>
  <si>
    <t>Supplier D</t>
  </si>
  <si>
    <t>TOTAL STOCK VALUE</t>
  </si>
  <si>
    <t>TOTAL ITEMS IN STOCK</t>
  </si>
  <si>
    <t>ITEMS NEED REORDER</t>
  </si>
  <si>
    <t>ON-TIME DELIVERY RATE</t>
  </si>
  <si>
    <t>TOTAL SHIPMENT COST</t>
  </si>
  <si>
    <t>DELAYED SHIPMENTS</t>
  </si>
  <si>
    <t>Status</t>
  </si>
  <si>
    <t>Count</t>
  </si>
  <si>
    <t>Delivered</t>
  </si>
  <si>
    <t>In Transit</t>
  </si>
  <si>
    <t xml:space="preserve">  INVENTORY STATUS BY SUPPLIER</t>
  </si>
  <si>
    <t xml:space="preserve">  SHIPMENT DELIVERY BREAKDOWN</t>
  </si>
  <si>
    <t>Delayed</t>
  </si>
  <si>
    <t>Stock Quantity</t>
  </si>
  <si>
    <t>Inventory Value (€)</t>
  </si>
  <si>
    <t>Delivery Status</t>
  </si>
  <si>
    <t>Total Cost (€)</t>
  </si>
  <si>
    <t>Total Qty</t>
  </si>
  <si>
    <t>Berlin Supply</t>
  </si>
  <si>
    <t>Munich Supply</t>
  </si>
  <si>
    <t>TOTAL</t>
  </si>
  <si>
    <t>Hamburg Supply</t>
  </si>
  <si>
    <t>Frankfurt Supply</t>
  </si>
  <si>
    <t>Cologne Supply</t>
  </si>
  <si>
    <t xml:space="preserve">  SUPPLIER PERFORMANCE SUMMARY</t>
  </si>
  <si>
    <t>Supplier Name</t>
  </si>
  <si>
    <t>Total Qty Supplied</t>
  </si>
  <si>
    <t>Avg Shipment Cost (€)</t>
  </si>
  <si>
    <t>Products Supplied</t>
  </si>
  <si>
    <t>Remarks</t>
  </si>
  <si>
    <t>Performance</t>
  </si>
  <si>
    <t>Pallets, Hand Truck, Warehouse Scale</t>
  </si>
  <si>
    <t>Good</t>
  </si>
  <si>
    <t>★★★★★</t>
  </si>
  <si>
    <t>Packaging Boxes, Forklift, Gloves</t>
  </si>
  <si>
    <t>Average</t>
  </si>
  <si>
    <t>★★★☆☆</t>
  </si>
  <si>
    <t>Barcode Scanner, Packaging Tape</t>
  </si>
  <si>
    <t>Storage Bins, Inventory Scanner</t>
  </si>
  <si>
    <t>Conveyor Belt, Industrial Fan</t>
  </si>
  <si>
    <t>Poor</t>
  </si>
  <si>
    <t>★☆☆☆☆</t>
  </si>
  <si>
    <t>TOTAL / AVERAGE</t>
  </si>
  <si>
    <t xml:space="preserve">  LEGEND:   ● GREEN = Good / Delivered      ● AMBER = Average / In Transit      ● RED = Poor / Delayed</t>
  </si>
  <si>
    <t xml:space="preserve">  INVENTORY DATA — Supply_Chain_Inventory.xlsx</t>
  </si>
  <si>
    <t>Product ID</t>
  </si>
  <si>
    <t>Product Name</t>
  </si>
  <si>
    <t>Stock Qty</t>
  </si>
  <si>
    <t>Reorder Level</t>
  </si>
  <si>
    <t>Unit Price (€)</t>
  </si>
  <si>
    <t>Reorder Status</t>
  </si>
  <si>
    <t>P001</t>
  </si>
  <si>
    <t>Pallet</t>
  </si>
  <si>
    <t>OK</t>
  </si>
  <si>
    <t>P002</t>
  </si>
  <si>
    <t>Packaging Box</t>
  </si>
  <si>
    <t>P003</t>
  </si>
  <si>
    <t>Barcode Scanner</t>
  </si>
  <si>
    <t>P004</t>
  </si>
  <si>
    <t>Label Printer</t>
  </si>
  <si>
    <t>P005</t>
  </si>
  <si>
    <t>Forklift</t>
  </si>
  <si>
    <t>P006</t>
  </si>
  <si>
    <t>Storage Bin</t>
  </si>
  <si>
    <t>P007</t>
  </si>
  <si>
    <t>Conveyor Belt</t>
  </si>
  <si>
    <t>P008</t>
  </si>
  <si>
    <t>Hand Truck</t>
  </si>
  <si>
    <t>P009</t>
  </si>
  <si>
    <t>Pallet Jack</t>
  </si>
  <si>
    <t>P010</t>
  </si>
  <si>
    <t>Shrink Wrap Machine</t>
  </si>
  <si>
    <t>P011</t>
  </si>
  <si>
    <t>Safety Helmet</t>
  </si>
  <si>
    <t>P012</t>
  </si>
  <si>
    <t>Gloves</t>
  </si>
  <si>
    <t>P013</t>
  </si>
  <si>
    <t>Industrial Fan</t>
  </si>
  <si>
    <t>P014</t>
  </si>
  <si>
    <t>Warehouse Scale</t>
  </si>
  <si>
    <t>P015</t>
  </si>
  <si>
    <t>Inventory Scanner</t>
  </si>
  <si>
    <t xml:space="preserve">  SHIPMENT TRACKING DATA — Shipment_Tracking.xlsx</t>
  </si>
  <si>
    <t>Shipment ID</t>
  </si>
  <si>
    <t>Product</t>
  </si>
  <si>
    <t>Origin</t>
  </si>
  <si>
    <t>Destination</t>
  </si>
  <si>
    <t>Quantity</t>
  </si>
  <si>
    <t>Shipment Cost (€)</t>
  </si>
  <si>
    <t>S001</t>
  </si>
  <si>
    <t>Pallets</t>
  </si>
  <si>
    <t>Berlin</t>
  </si>
  <si>
    <t>Hamburg</t>
  </si>
  <si>
    <t>S002</t>
  </si>
  <si>
    <t>Packaging Boxes</t>
  </si>
  <si>
    <t>Munich</t>
  </si>
  <si>
    <t>S003</t>
  </si>
  <si>
    <t>Frankfurt</t>
  </si>
  <si>
    <t>S004</t>
  </si>
  <si>
    <t>Cologne</t>
  </si>
  <si>
    <t>S005</t>
  </si>
  <si>
    <t>Stuttgart</t>
  </si>
  <si>
    <t>S006</t>
  </si>
  <si>
    <t>Storage Bins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</si>
  <si>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</si>
  <si>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</si>
  <si>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</si>
  <si>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</si>
  <si>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</si>
  <si>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</si>
  <si>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</si>
  <si>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</si>
  <si>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</si>
  <si>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Packaging Tape</t>
  </si>
  <si>
    <t xml:space="preserve">  SUPPLIER PERFORMANCE — Supplier_Performance.xlsx</t>
  </si>
  <si>
    <t>TOTAL /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</si>
</sst>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"/>
    <numFmt numFmtId="165" formatCode="0.0%"/>
    <numFmt numFmtId="166" formatCode="\€#,##0.00"/>
  </numFmts>
  <fonts count="19" x14ac:knownFonts="1"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B3A5C"/>
      <name val="Arial"/>
      <charset val="1"/>
    </font>
    <font>
      <sz val="10"/>
      <color rgb="FF1B3A5C"/>
      <name val="Arial"/>
      <charset val="1"/>
    </font>
    <font>
      <b/>
      <sz val="10"/>
      <color rgb="FF1E7E44"/>
      <name val="Arial"/>
      <charset val="1"/>
    </font>
    <font>
      <b/>
      <sz val="10"/>
      <color rgb="FFD4860A"/>
      <name val="Arial"/>
      <charset val="1"/>
    </font>
    <font>
      <b/>
      <sz val="10"/>
      <color rgb="FFC0392B"/>
      <name val="Arial"/>
      <charset val="1"/>
    </font>
    <font>
      <b/>
      <sz val="12"/>
      <color rgb="FF1E7E44"/>
      <name val="Arial"/>
      <charset val="1"/>
    </font>
    <font>
      <b/>
      <sz val="12"/>
      <color rgb="FFD4860A"/>
      <name val="Arial"/>
      <charset val="1"/>
    </font>
    <font>
      <b/>
      <sz val="12"/>
      <color rgb="FFC0392B"/>
      <name val="Arial"/>
      <charset val="1"/>
    </font>
    <font>
      <i/>
      <sz val="9"/>
      <color rgb="FF444444"/>
      <name val="Arial"/>
      <charset val="1"/>
    </font>
    <font>
      <b/>
      <sz val="14"/>
      <color rgb="FFFFFFFF"/>
      <name val="Arial"/>
      <charset val="1"/>
    </font>
    <font>
      <b/>
      <sz val="13"/>
      <color rgb="FF1E7E44"/>
      <name val="Arial"/>
      <charset val="1"/>
    </font>
    <font>
      <b/>
      <sz val="13"/>
      <color rgb="FFD4860A"/>
      <name val="Arial"/>
      <charset val="1"/>
    </font>
    <font>
      <b/>
      <sz val="13"/>
      <color rgb="FFC0392B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5C"/>
        <bgColor rgb="FF34495E"/>
      </patternFill>
    </fill>
    <fill>
      <patternFill patternType="solid">
        <fgColor rgb="FFF4F4F4"/>
        <bgColor rgb="FFEAF2FB"/>
      </patternFill>
    </fill>
    <fill>
      <patternFill patternType="solid">
        <fgColor rgb="FF2E75B6"/>
        <bgColor rgb="FF4F81BD"/>
      </patternFill>
    </fill>
    <fill>
      <patternFill patternType="solid">
        <fgColor rgb="FFD4860A"/>
        <bgColor rgb="FFFF6600"/>
      </patternFill>
    </fill>
    <fill>
      <patternFill patternType="solid">
        <fgColor rgb="FF1D6E56"/>
        <bgColor rgb="FF1E7E44"/>
      </patternFill>
    </fill>
    <fill>
      <patternFill patternType="solid">
        <fgColor rgb="FF34495E"/>
        <bgColor rgb="FF444444"/>
      </patternFill>
    </fill>
    <fill>
      <patternFill patternType="solid">
        <fgColor rgb="FFC0392B"/>
        <bgColor rgb="FFC0504D"/>
      </patternFill>
    </fill>
    <fill>
      <patternFill patternType="solid">
        <fgColor rgb="FFEAF2FB"/>
        <bgColor rgb="FFF4F4F4"/>
      </patternFill>
    </fill>
    <fill>
      <patternFill patternType="solid">
        <fgColor rgb="FFD5F0E2"/>
        <bgColor rgb="FFD4EDE7"/>
      </patternFill>
    </fill>
    <fill>
      <patternFill patternType="solid">
        <fgColor rgb="FFFFFFFF"/>
        <bgColor rgb="FFF4F4F4"/>
      </patternFill>
    </fill>
    <fill>
      <patternFill patternType="solid">
        <fgColor rgb="FFFEF3DC"/>
        <bgColor rgb="FFF4F4F4"/>
      </patternFill>
    </fill>
    <fill>
      <patternFill patternType="solid">
        <fgColor rgb="FFFADBD8"/>
        <bgColor rgb="FFD9D9D9"/>
      </patternFill>
    </fill>
    <fill>
      <patternFill patternType="solid">
        <fgColor rgb="FFD4EDE7"/>
        <bgColor rgb="FFD5F0E2"/>
      </patternFill>
    </fill>
    <fill>
      <patternFill patternType="solid">
        <fgColor rgb="FFDCE9F5"/>
        <bgColor rgb="FFD4EDE7"/>
      </patternFill>
    </fill>
  </fills>
  <borders count="52">
    <border>
      <left/>
      <right/>
      <top/>
      <bottom/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B3A5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4860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D6E5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4495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0392B"/>
      </bottom>
      <diagonal/>
    </border>
    <border>
      <left style="thin">
        <color rgb="FFFFFFFF"/>
      </left>
      <right style="thin">
        <color rgb="FFFFFFFF"/>
      </right>
      <top style="thin">
        <color rgb="FF1B3A5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2E75B6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4860A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1D6E56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34495E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0392B"/>
      </top>
      <bottom style="thin">
        <color rgb="FFFFFFFF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thin">
        <color rgb="FF2E75B6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thin">
        <color rgb="FF1D6E56"/>
      </bottom>
      <diagonal/>
    </border>
    <border>
      <left style="medium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1B3A5C"/>
      </left>
      <right style="medium">
        <color rgb="FF1B3A5C"/>
      </right>
      <top style="thin">
        <color rgb="FF1B3A5C"/>
      </top>
      <bottom style="thin">
        <color rgb="FF1B3A5C"/>
      </bottom>
      <diagonal/>
    </border>
    <border>
      <left style="medium">
        <color rgb="FF1B3A5C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B3A5C"/>
      </right>
      <top style="thin">
        <color rgb="FFD0D0D0"/>
      </top>
      <bottom style="thin">
        <color rgb="FFD0D0D0"/>
      </bottom>
      <diagonal/>
    </border>
    <border>
      <left style="medium">
        <color rgb="FF1B3A5C"/>
      </left>
      <right style="thin">
        <color rgb="FF1D6E56"/>
      </right>
      <top style="thin">
        <color rgb="FF1D6E56"/>
      </top>
      <bottom style="medium">
        <color rgb="FF1B3A5C"/>
      </bottom>
      <diagonal/>
    </border>
    <border>
      <left style="thin">
        <color rgb="FF1D6E56"/>
      </left>
      <right style="thin">
        <color rgb="FF1D6E56"/>
      </right>
      <top style="thin">
        <color rgb="FF1D6E56"/>
      </top>
      <bottom style="medium">
        <color rgb="FF1B3A5C"/>
      </bottom>
      <diagonal/>
    </border>
    <border>
      <left style="thin">
        <color rgb="FF1D6E56"/>
      </left>
      <right style="medium">
        <color rgb="FF1B3A5C"/>
      </right>
      <top style="thin">
        <color rgb="FF1D6E56"/>
      </top>
      <bottom style="medium">
        <color rgb="FF1B3A5C"/>
      </bottom>
      <diagonal/>
    </border>
    <border>
      <left style="medium">
        <color rgb="FF1B3A5C"/>
      </left>
      <right style="thin">
        <color rgb="FF1B3A5C"/>
      </right>
      <top style="thin">
        <color rgb="FF1B3A5C"/>
      </top>
      <bottom style="medium">
        <color rgb="FF1B3A5C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medium">
        <color rgb="FF1B3A5C"/>
      </bottom>
      <diagonal/>
    </border>
    <border>
      <left style="thin">
        <color rgb="FF1B3A5C"/>
      </left>
      <right style="medium">
        <color rgb="FF1B3A5C"/>
      </right>
      <top style="thin">
        <color rgb="FF1B3A5C"/>
      </top>
      <bottom style="medium">
        <color rgb="FF1B3A5C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thin">
        <color rgb="FF34495E"/>
      </bottom>
      <diagonal/>
    </border>
    <border>
      <left/>
      <right/>
      <top/>
      <bottom style="medium">
        <color rgb="FF1B3A5C"/>
      </bottom>
      <diagonal/>
    </border>
    <border>
      <left/>
      <right style="medium">
        <color rgb="FF1B3A5C"/>
      </right>
      <top/>
      <bottom style="medium">
        <color rgb="FF1B3A5C"/>
      </bottom>
      <diagonal/>
    </border>
    <border>
      <left style="medium">
        <color rgb="FF1B3A5C"/>
      </left>
      <right style="thin">
        <color rgb="FF1B3A5C"/>
      </right>
      <top style="medium">
        <color rgb="FF1B3A5C"/>
      </top>
      <bottom style="thin">
        <color rgb="FF1B3A5C"/>
      </bottom>
      <diagonal/>
    </border>
    <border>
      <left style="thin">
        <color rgb="FF1B3A5C"/>
      </left>
      <right style="thin">
        <color rgb="FF1B3A5C"/>
      </right>
      <top style="medium">
        <color rgb="FF1B3A5C"/>
      </top>
      <bottom style="thin">
        <color rgb="FF1B3A5C"/>
      </bottom>
      <diagonal/>
    </border>
    <border>
      <left style="thin">
        <color rgb="FF1B3A5C"/>
      </left>
      <right style="medium">
        <color rgb="FF1B3A5C"/>
      </right>
      <top style="medium">
        <color rgb="FF1B3A5C"/>
      </top>
      <bottom style="thin">
        <color rgb="FF1B3A5C"/>
      </bottom>
      <diagonal/>
    </border>
    <border>
      <left style="medium">
        <color rgb="FF1D6E56"/>
      </left>
      <right style="medium">
        <color rgb="FF1D6E56"/>
      </right>
      <top style="medium">
        <color rgb="FF1D6E56"/>
      </top>
      <bottom style="medium">
        <color rgb="FF1D6E56"/>
      </bottom>
      <diagonal/>
    </border>
    <border>
      <left style="medium">
        <color rgb="FF1D6E56"/>
      </left>
      <right style="thin">
        <color rgb="FF1D6E56"/>
      </right>
      <top style="medium">
        <color rgb="FF1D6E56"/>
      </top>
      <bottom style="thin">
        <color rgb="FF1D6E56"/>
      </bottom>
      <diagonal/>
    </border>
    <border>
      <left style="thin">
        <color rgb="FF1D6E56"/>
      </left>
      <right style="thin">
        <color rgb="FF1D6E56"/>
      </right>
      <top style="medium">
        <color rgb="FF1D6E56"/>
      </top>
      <bottom style="thin">
        <color rgb="FF1D6E56"/>
      </bottom>
      <diagonal/>
    </border>
    <border>
      <left style="thin">
        <color rgb="FF1D6E56"/>
      </left>
      <right style="medium">
        <color rgb="FF1D6E56"/>
      </right>
      <top style="medium">
        <color rgb="FF1D6E56"/>
      </top>
      <bottom style="thin">
        <color rgb="FF1D6E56"/>
      </bottom>
      <diagonal/>
    </border>
    <border>
      <left style="medium">
        <color rgb="FF1D6E56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D6E56"/>
      </right>
      <top style="thin">
        <color rgb="FFD0D0D0"/>
      </top>
      <bottom style="thin">
        <color rgb="FFD0D0D0"/>
      </bottom>
      <diagonal/>
    </border>
    <border>
      <left style="medium">
        <color rgb="FF1D6E56"/>
      </left>
      <right style="thin">
        <color rgb="FF1D6E56"/>
      </right>
      <top style="thin">
        <color rgb="FF1D6E56"/>
      </top>
      <bottom style="medium">
        <color rgb="FF1D6E56"/>
      </bottom>
      <diagonal/>
    </border>
    <border>
      <left style="thin">
        <color rgb="FF1D6E56"/>
      </left>
      <right style="thin">
        <color rgb="FF1D6E56"/>
      </right>
      <top style="thin">
        <color rgb="FF1D6E56"/>
      </top>
      <bottom style="medium">
        <color rgb="FF1D6E56"/>
      </bottom>
      <diagonal/>
    </border>
    <border>
      <left style="thin">
        <color rgb="FF1D6E56"/>
      </left>
      <right style="medium">
        <color rgb="FF1D6E56"/>
      </right>
      <top style="thin">
        <color rgb="FF1D6E56"/>
      </top>
      <bottom style="medium">
        <color rgb="FF1D6E56"/>
      </bottom>
      <diagonal/>
    </border>
    <border>
      <left style="medium">
        <color rgb="FF34495E"/>
      </left>
      <right style="medium">
        <color rgb="FF34495E"/>
      </right>
      <top style="medium">
        <color rgb="FF34495E"/>
      </top>
      <bottom style="medium">
        <color rgb="FF34495E"/>
      </bottom>
      <diagonal/>
    </border>
    <border>
      <left style="medium">
        <color rgb="FF34495E"/>
      </left>
      <right style="thin">
        <color rgb="FF34495E"/>
      </right>
      <top style="medium">
        <color rgb="FF34495E"/>
      </top>
      <bottom style="thin">
        <color rgb="FF34495E"/>
      </bottom>
      <diagonal/>
    </border>
    <border>
      <left style="thin">
        <color rgb="FF34495E"/>
      </left>
      <right style="thin">
        <color rgb="FF34495E"/>
      </right>
      <top style="medium">
        <color rgb="FF34495E"/>
      </top>
      <bottom style="thin">
        <color rgb="FF34495E"/>
      </bottom>
      <diagonal/>
    </border>
    <border>
      <left style="thin">
        <color rgb="FF34495E"/>
      </left>
      <right style="medium">
        <color rgb="FF34495E"/>
      </right>
      <top style="medium">
        <color rgb="FF34495E"/>
      </top>
      <bottom style="thin">
        <color rgb="FF34495E"/>
      </bottom>
      <diagonal/>
    </border>
    <border>
      <left style="medium">
        <color rgb="FF34495E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34495E"/>
      </right>
      <top style="thin">
        <color rgb="FFD0D0D0"/>
      </top>
      <bottom style="thin">
        <color rgb="FFD0D0D0"/>
      </bottom>
      <diagonal/>
    </border>
    <border>
      <left style="medium">
        <color rgb="FF34495E"/>
      </left>
      <right style="thin">
        <color rgb="FF1B3A5C"/>
      </right>
      <top style="thin">
        <color rgb="FF1B3A5C"/>
      </top>
      <bottom style="medium">
        <color rgb="FF34495E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medium">
        <color rgb="FF34495E"/>
      </bottom>
      <diagonal/>
    </border>
    <border>
      <left style="thin">
        <color rgb="FF1B3A5C"/>
      </left>
      <right style="medium">
        <color rgb="FF34495E"/>
      </right>
      <top style="thin">
        <color rgb="FF1B3A5C"/>
      </top>
      <bottom style="medium">
        <color rgb="FF34495E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5" fillId="7" borderId="43" xfId="0" applyFont="1" applyFill="1" applyBorder="1" applyAlignment="1">
      <alignment horizontal="left" vertical="center"/>
    </xf>
    <xf numFmtId="0" fontId="15" fillId="6" borderId="34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65" fontId="4" fillId="6" borderId="12" xfId="0" applyNumberFormat="1" applyFont="1" applyFill="1" applyBorder="1" applyAlignment="1">
      <alignment horizontal="center" vertical="center"/>
    </xf>
    <xf numFmtId="164" fontId="4" fillId="7" borderId="13" xfId="0" applyNumberFormat="1" applyFon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164" fontId="7" fillId="9" borderId="21" xfId="0" applyNumberFormat="1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7" fillId="10" borderId="21" xfId="0" applyNumberFormat="1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center" vertical="center"/>
    </xf>
    <xf numFmtId="164" fontId="7" fillId="11" borderId="21" xfId="0" applyNumberFormat="1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64" fontId="7" fillId="12" borderId="21" xfId="0" applyNumberFormat="1" applyFont="1" applyFill="1" applyBorder="1" applyAlignment="1">
      <alignment horizontal="center" vertical="center"/>
    </xf>
    <xf numFmtId="0" fontId="10" fillId="13" borderId="20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64" fontId="7" fillId="13" borderId="21" xfId="0" applyNumberFormat="1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6" fillId="14" borderId="23" xfId="0" applyFont="1" applyFill="1" applyBorder="1" applyAlignment="1">
      <alignment horizontal="center" vertical="center"/>
    </xf>
    <xf numFmtId="164" fontId="6" fillId="14" borderId="24" xfId="0" applyNumberFormat="1" applyFont="1" applyFill="1" applyBorder="1" applyAlignment="1">
      <alignment horizontal="center" vertical="center"/>
    </xf>
    <xf numFmtId="0" fontId="6" fillId="15" borderId="25" xfId="0" applyFont="1" applyFill="1" applyBorder="1" applyAlignment="1">
      <alignment horizontal="left" vertical="center"/>
    </xf>
    <xf numFmtId="0" fontId="6" fillId="15" borderId="26" xfId="0" applyFont="1" applyFill="1" applyBorder="1" applyAlignment="1">
      <alignment horizontal="center" vertical="center"/>
    </xf>
    <xf numFmtId="164" fontId="6" fillId="15" borderId="27" xfId="0" applyNumberFormat="1" applyFont="1" applyFill="1" applyBorder="1" applyAlignment="1">
      <alignment horizontal="center" vertical="center"/>
    </xf>
    <xf numFmtId="166" fontId="7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166" fontId="7" fillId="11" borderId="2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166" fontId="6" fillId="15" borderId="2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center"/>
    </xf>
    <xf numFmtId="164" fontId="7" fillId="11" borderId="2" xfId="0" applyNumberFormat="1" applyFont="1" applyFill="1" applyBorder="1" applyAlignment="1">
      <alignment horizontal="center" vertical="center"/>
    </xf>
    <xf numFmtId="164" fontId="6" fillId="15" borderId="26" xfId="0" applyNumberFormat="1" applyFont="1" applyFill="1" applyBorder="1" applyAlignment="1">
      <alignment horizontal="center" vertical="center"/>
    </xf>
    <xf numFmtId="0" fontId="6" fillId="15" borderId="27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6" fillId="9" borderId="38" xfId="0" applyFont="1" applyFill="1" applyBorder="1" applyAlignment="1">
      <alignment horizontal="center" vertical="center"/>
    </xf>
    <xf numFmtId="0" fontId="8" fillId="10" borderId="39" xfId="0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0" fontId="9" fillId="12" borderId="39" xfId="0" applyFont="1" applyFill="1" applyBorder="1" applyAlignment="1">
      <alignment horizontal="center" vertical="center"/>
    </xf>
    <xf numFmtId="0" fontId="10" fillId="13" borderId="39" xfId="0" applyFont="1" applyFill="1" applyBorder="1" applyAlignment="1">
      <alignment horizontal="center" vertical="center"/>
    </xf>
    <xf numFmtId="0" fontId="6" fillId="14" borderId="40" xfId="0" applyFont="1" applyFill="1" applyBorder="1" applyAlignment="1">
      <alignment horizontal="left" vertical="center"/>
    </xf>
    <xf numFmtId="0" fontId="6" fillId="14" borderId="41" xfId="0" applyFont="1" applyFill="1" applyBorder="1" applyAlignment="1">
      <alignment horizontal="center" vertical="center"/>
    </xf>
    <xf numFmtId="164" fontId="6" fillId="14" borderId="41" xfId="0" applyNumberFormat="1" applyFont="1" applyFill="1" applyBorder="1" applyAlignment="1">
      <alignment horizontal="center" vertical="center"/>
    </xf>
    <xf numFmtId="0" fontId="6" fillId="14" borderId="42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6" fillId="14" borderId="47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 vertical="center"/>
    </xf>
    <xf numFmtId="166" fontId="7" fillId="14" borderId="2" xfId="0" applyNumberFormat="1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left" vertical="center" wrapText="1"/>
    </xf>
    <xf numFmtId="0" fontId="16" fillId="10" borderId="48" xfId="0" applyFont="1" applyFill="1" applyBorder="1" applyAlignment="1">
      <alignment horizontal="center" vertical="center"/>
    </xf>
    <xf numFmtId="0" fontId="6" fillId="11" borderId="47" xfId="0" applyFont="1" applyFill="1" applyBorder="1" applyAlignment="1">
      <alignment horizontal="left" vertical="center"/>
    </xf>
    <xf numFmtId="0" fontId="17" fillId="12" borderId="48" xfId="0" applyFont="1" applyFill="1" applyBorder="1" applyAlignment="1">
      <alignment horizontal="center" vertical="center"/>
    </xf>
    <xf numFmtId="0" fontId="18" fillId="13" borderId="48" xfId="0" applyFont="1" applyFill="1" applyBorder="1" applyAlignment="1">
      <alignment horizontal="center" vertical="center"/>
    </xf>
    <xf numFmtId="0" fontId="6" fillId="15" borderId="49" xfId="0" applyFont="1" applyFill="1" applyBorder="1" applyAlignment="1">
      <alignment horizontal="left" vertical="center"/>
    </xf>
    <xf numFmtId="0" fontId="6" fillId="15" borderId="50" xfId="0" applyFont="1" applyFill="1" applyBorder="1" applyAlignment="1">
      <alignment horizontal="center" vertical="center"/>
    </xf>
    <xf numFmtId="166" fontId="6" fillId="15" borderId="50" xfId="0" applyNumberFormat="1" applyFont="1" applyFill="1" applyBorder="1" applyAlignment="1">
      <alignment horizontal="center" vertical="center"/>
    </xf>
    <xf numFmtId="0" fontId="6" fillId="15" borderId="5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E56"/>
      <rgbColor rgb="FFD9D9D9"/>
      <rgbColor rgb="FF878787"/>
      <rgbColor rgb="FF9999FF"/>
      <rgbColor rgb="FFC0504D"/>
      <rgbColor rgb="FFFEF3DC"/>
      <rgbColor rgb="FFD4EDE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1E7E44"/>
      <rgbColor rgb="FF0000FF"/>
      <rgbColor rgb="FF00CCFF"/>
      <rgbColor rgb="FFEAF2FB"/>
      <rgbColor rgb="FFD5F0E2"/>
      <rgbColor rgb="FFF4F4F4"/>
      <rgbColor rgb="FFDCE9F5"/>
      <rgbColor rgb="FFFF99CC"/>
      <rgbColor rgb="FFCC99FF"/>
      <rgbColor rgb="FFFADBD8"/>
      <rgbColor rgb="FF2E75B6"/>
      <rgbColor rgb="FF33CCCC"/>
      <rgbColor rgb="FF9BBB59"/>
      <rgbColor rgb="FFFFCC00"/>
      <rgbColor rgb="FFD4860A"/>
      <rgbColor rgb="FFFF6600"/>
      <rgbColor rgb="FF4F81BD"/>
      <rgbColor rgb="FF969696"/>
      <rgbColor rgb="FF1B3A5C"/>
      <rgbColor rgb="FF339966"/>
      <rgbColor rgb="FF003300"/>
      <rgbColor rgb="FF555555"/>
      <rgbColor rgb="FFC0392B"/>
      <rgbColor rgb="FF993366"/>
      <rgbColor rgb="FF34495E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Inventory Value by Supplier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</c:f>
              <c:strCache>
                <c:ptCount val="1"/>
                <c:pt idx="0">
                  <c:v>Inv Value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Dashboard!$J$2:$J$5</c:f>
              <c:strCache>
                <c:ptCount val="4"/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</c:strCache>
            </c:strRef>
          </c:cat>
          <c:val>
            <c:numRef>
              <c:f>Dashboard!$K$2:$K$5</c:f>
              <c:numCache>
                <c:formatCode>General</c:formatCode>
                <c:ptCount val="4"/>
                <c:pt idx="1">
                  <c:v>11200</c:v>
                </c:pt>
                <c:pt idx="2">
                  <c:v>33750</c:v>
                </c:pt>
                <c:pt idx="3">
                  <c:v>41300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8E0-B7D1-940C5943C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44912"/>
        <c:axId val="97821096"/>
      </c:barChart>
      <c:catAx>
        <c:axId val="55044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21096"/>
        <c:crosses val="autoZero"/>
        <c:auto val="1"/>
        <c:lblAlgn val="ctr"/>
        <c:lblOffset val="100"/>
        <c:noMultiLvlLbl val="0"/>
      </c:catAx>
      <c:valAx>
        <c:axId val="97821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€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44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Delivery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DAF-4E88-932C-5934A17D277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DAF-4E88-932C-5934A17D277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DAF-4E88-932C-5934A17D277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DAF-4E88-932C-5934A17D277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DAF-4E88-932C-5934A17D277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DAF-4E88-932C-5934A17D27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Dashboard!$J$8:$J$10</c:f>
              <c:strCache>
                <c:ptCount val="3"/>
                <c:pt idx="0">
                  <c:v>Delivered</c:v>
                </c:pt>
                <c:pt idx="1">
                  <c:v>In Transit</c:v>
                </c:pt>
                <c:pt idx="2">
                  <c:v>Delayed</c:v>
                </c:pt>
              </c:strCache>
            </c:strRef>
          </c:cat>
          <c:val>
            <c:numRef>
              <c:f>Dashboard!$K$8:$K$10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AF-4E88-932C-5934A17D2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Quantity Supplied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6578630340098"/>
          <c:y val="0.24932505025299784"/>
          <c:w val="0.7928867004555078"/>
          <c:h val="0.676375603613594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Dashboard!$K$12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rgbClr val="1D6E5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Dashboard!$J$13:$J$17</c:f>
              <c:strCache>
                <c:ptCount val="5"/>
                <c:pt idx="0">
                  <c:v>Berlin Supply</c:v>
                </c:pt>
                <c:pt idx="1">
                  <c:v>Munich Supply</c:v>
                </c:pt>
                <c:pt idx="2">
                  <c:v>Hamburg Supply</c:v>
                </c:pt>
                <c:pt idx="3">
                  <c:v>Frankfurt Supply</c:v>
                </c:pt>
                <c:pt idx="4">
                  <c:v>Cologne Supply</c:v>
                </c:pt>
              </c:strCache>
            </c:strRef>
          </c:cat>
          <c:val>
            <c:numRef>
              <c:f>Dashboard!$K$13:$K$17</c:f>
              <c:numCache>
                <c:formatCode>General</c:formatCode>
                <c:ptCount val="5"/>
                <c:pt idx="0">
                  <c:v>69</c:v>
                </c:pt>
                <c:pt idx="1">
                  <c:v>352</c:v>
                </c:pt>
                <c:pt idx="2">
                  <c:v>310</c:v>
                </c:pt>
                <c:pt idx="3">
                  <c:v>72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9-4700-9F17-DF387E584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8401"/>
        <c:axId val="83112742"/>
      </c:barChart>
      <c:catAx>
        <c:axId val="132984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12742"/>
        <c:crosses val="autoZero"/>
        <c:auto val="1"/>
        <c:lblAlgn val="ctr"/>
        <c:lblOffset val="100"/>
        <c:noMultiLvlLbl val="0"/>
      </c:catAx>
      <c:valAx>
        <c:axId val="831127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layout>
            <c:manualLayout>
              <c:xMode val="edge"/>
              <c:yMode val="edge"/>
              <c:x val="0.44052174889330858"/>
              <c:y val="0.9442295695570804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98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6</xdr:col>
      <xdr:colOff>465840</xdr:colOff>
      <xdr:row>46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350520</xdr:colOff>
      <xdr:row>27</xdr:row>
      <xdr:rowOff>144780</xdr:rowOff>
    </xdr:from>
    <xdr:to>
      <xdr:col>19</xdr:col>
      <xdr:colOff>38100</xdr:colOff>
      <xdr:row>42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18</xdr:col>
      <xdr:colOff>569880</xdr:colOff>
      <xdr:row>61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K27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61" sqref="W61"/>
    </sheetView>
  </sheetViews>
  <sheetFormatPr defaultColWidth="8.6640625" defaultRowHeight="14.4" x14ac:dyDescent="0.3"/>
  <cols>
    <col min="1" max="1" width="1" customWidth="1"/>
    <col min="2" max="2" width="18" customWidth="1"/>
    <col min="3" max="4" width="16" customWidth="1"/>
    <col min="5" max="5" width="2" customWidth="1"/>
    <col min="6" max="6" width="18" customWidth="1"/>
    <col min="7" max="8" width="16" customWidth="1"/>
    <col min="9" max="9" width="1" customWidth="1"/>
    <col min="10" max="12" width="0.109375" customWidth="1"/>
  </cols>
  <sheetData>
    <row r="1" spans="2:11" ht="7.5" customHeight="1" x14ac:dyDescent="0.3">
      <c r="J1" t="s">
        <v>0</v>
      </c>
      <c r="K1" t="s">
        <v>1</v>
      </c>
    </row>
    <row r="2" spans="2:11" ht="43.5" customHeight="1" x14ac:dyDescent="0.3"/>
    <row r="3" spans="2:11" ht="19.5" customHeight="1" x14ac:dyDescent="0.3">
      <c r="B3" s="9" t="s">
        <v>3</v>
      </c>
      <c r="C3" s="9"/>
      <c r="D3" s="9"/>
      <c r="E3" s="9"/>
      <c r="F3" s="9"/>
      <c r="G3" s="9"/>
      <c r="H3" s="9"/>
      <c r="J3" t="s">
        <v>4</v>
      </c>
      <c r="K3">
        <v>11200</v>
      </c>
    </row>
    <row r="4" spans="2:11" ht="9.75" customHeight="1" x14ac:dyDescent="0.3">
      <c r="J4" t="s">
        <v>5</v>
      </c>
      <c r="K4">
        <v>33750</v>
      </c>
    </row>
    <row r="5" spans="2:11" ht="19.5" customHeight="1" x14ac:dyDescent="0.3">
      <c r="B5" s="8" t="s">
        <v>6</v>
      </c>
      <c r="C5" s="8"/>
      <c r="D5" s="8"/>
      <c r="E5" s="8"/>
      <c r="F5" s="8"/>
      <c r="G5" s="8"/>
      <c r="H5" s="8"/>
      <c r="J5" t="s">
        <v>7</v>
      </c>
      <c r="K5">
        <v>41300</v>
      </c>
    </row>
    <row r="6" spans="2:11" ht="19.5" customHeight="1" x14ac:dyDescent="0.3">
      <c r="B6" s="10" t="s">
        <v>8</v>
      </c>
      <c r="C6" s="11" t="s">
        <v>9</v>
      </c>
      <c r="D6" s="12" t="s">
        <v>10</v>
      </c>
      <c r="F6" s="13" t="s">
        <v>11</v>
      </c>
      <c r="G6" s="14" t="s">
        <v>12</v>
      </c>
      <c r="H6" s="15" t="s">
        <v>13</v>
      </c>
    </row>
    <row r="7" spans="2:11" ht="36" customHeight="1" x14ac:dyDescent="0.3">
      <c r="B7" s="16">
        <f>SUMPRODUCT(Inventory!D2:D16,Inventory!F2:F16)</f>
        <v>0</v>
      </c>
      <c r="C7" s="17">
        <f>COUNTA(Inventory!A2:A16)</f>
        <v>0</v>
      </c>
      <c r="D7" s="18">
        <f>COUNTIF(Inventory!H2:H16,"Reorder")</f>
        <v>0</v>
      </c>
      <c r="F7" s="19">
        <f>COUNTIF(Shipments!G2:G16,"Delivered")/COUNTA(Shipments!G2:G16)</f>
        <v>0</v>
      </c>
      <c r="G7" s="20">
        <f>SUM(Shipments!F2:F16)</f>
        <v>590</v>
      </c>
      <c r="H7" s="21">
        <f>COUNTIF(Shipments!G2:G16,"Delayed")</f>
        <v>0</v>
      </c>
      <c r="J7" t="s">
        <v>14</v>
      </c>
      <c r="K7" t="s">
        <v>15</v>
      </c>
    </row>
    <row r="8" spans="2:11" ht="9.75" customHeight="1" x14ac:dyDescent="0.3">
      <c r="J8" t="s">
        <v>16</v>
      </c>
      <c r="K8">
        <v>8</v>
      </c>
    </row>
    <row r="9" spans="2:11" ht="7.5" customHeight="1" x14ac:dyDescent="0.3">
      <c r="J9" t="s">
        <v>17</v>
      </c>
      <c r="K9">
        <v>4</v>
      </c>
    </row>
    <row r="10" spans="2:11" ht="21.75" customHeight="1" x14ac:dyDescent="0.3">
      <c r="B10" s="7" t="s">
        <v>18</v>
      </c>
      <c r="C10" s="7"/>
      <c r="D10" s="7"/>
      <c r="F10" s="6" t="s">
        <v>19</v>
      </c>
      <c r="G10" s="6"/>
      <c r="H10" s="6"/>
      <c r="J10" t="s">
        <v>20</v>
      </c>
      <c r="K10">
        <v>3</v>
      </c>
    </row>
    <row r="11" spans="2:11" ht="21.75" customHeight="1" x14ac:dyDescent="0.3">
      <c r="B11" s="22" t="s">
        <v>0</v>
      </c>
      <c r="C11" s="23" t="s">
        <v>21</v>
      </c>
      <c r="D11" s="24" t="s">
        <v>22</v>
      </c>
      <c r="F11" s="22" t="s">
        <v>23</v>
      </c>
      <c r="G11" s="23" t="s">
        <v>15</v>
      </c>
      <c r="H11" s="24" t="s">
        <v>24</v>
      </c>
    </row>
    <row r="12" spans="2:11" ht="19.5" customHeight="1" x14ac:dyDescent="0.3">
      <c r="B12" s="25" t="s">
        <v>2</v>
      </c>
      <c r="C12" s="26">
        <v>222</v>
      </c>
      <c r="D12" s="27">
        <v>12300</v>
      </c>
      <c r="F12" s="28" t="s">
        <v>16</v>
      </c>
      <c r="G12" s="29">
        <v>8</v>
      </c>
      <c r="H12" s="30">
        <v>3640</v>
      </c>
      <c r="J12" t="s">
        <v>0</v>
      </c>
      <c r="K12" t="s">
        <v>25</v>
      </c>
    </row>
    <row r="13" spans="2:11" ht="19.5" customHeight="1" x14ac:dyDescent="0.3">
      <c r="B13" s="31" t="s">
        <v>4</v>
      </c>
      <c r="C13" s="32">
        <v>288</v>
      </c>
      <c r="D13" s="33">
        <v>11200</v>
      </c>
      <c r="F13" s="34" t="s">
        <v>17</v>
      </c>
      <c r="G13" s="35">
        <v>4</v>
      </c>
      <c r="H13" s="36">
        <v>950</v>
      </c>
      <c r="J13" t="s">
        <v>26</v>
      </c>
      <c r="K13">
        <v>69</v>
      </c>
    </row>
    <row r="14" spans="2:11" ht="19.5" customHeight="1" x14ac:dyDescent="0.3">
      <c r="B14" s="25" t="s">
        <v>5</v>
      </c>
      <c r="C14" s="26">
        <v>90</v>
      </c>
      <c r="D14" s="27">
        <v>33750</v>
      </c>
      <c r="F14" s="37" t="s">
        <v>20</v>
      </c>
      <c r="G14" s="38">
        <v>3</v>
      </c>
      <c r="H14" s="39">
        <v>690</v>
      </c>
      <c r="J14" t="s">
        <v>27</v>
      </c>
      <c r="K14">
        <v>352</v>
      </c>
    </row>
    <row r="15" spans="2:11" ht="21.75" customHeight="1" x14ac:dyDescent="0.3">
      <c r="B15" s="31" t="s">
        <v>7</v>
      </c>
      <c r="C15" s="32">
        <v>18</v>
      </c>
      <c r="D15" s="33">
        <v>41300</v>
      </c>
      <c r="F15" s="40" t="s">
        <v>28</v>
      </c>
      <c r="G15" s="41">
        <f>SUM(G12:G14)</f>
        <v>15</v>
      </c>
      <c r="H15" s="42">
        <f>SUM(H12:H14)</f>
        <v>5280</v>
      </c>
      <c r="J15" t="s">
        <v>29</v>
      </c>
      <c r="K15">
        <v>310</v>
      </c>
    </row>
    <row r="16" spans="2:11" ht="21.75" customHeight="1" x14ac:dyDescent="0.3">
      <c r="B16" s="43" t="s">
        <v>28</v>
      </c>
      <c r="C16" s="44">
        <f>SUM(C12:C15)</f>
        <v>618</v>
      </c>
      <c r="D16" s="45">
        <f>SUM(D12:D15)</f>
        <v>98550</v>
      </c>
      <c r="J16" t="s">
        <v>30</v>
      </c>
      <c r="K16">
        <v>72</v>
      </c>
    </row>
    <row r="17" spans="2:11" ht="9.75" customHeight="1" x14ac:dyDescent="0.3">
      <c r="J17" t="s">
        <v>31</v>
      </c>
      <c r="K17">
        <v>8</v>
      </c>
    </row>
    <row r="18" spans="2:11" ht="21.75" customHeight="1" x14ac:dyDescent="0.3">
      <c r="B18" s="5" t="s">
        <v>32</v>
      </c>
      <c r="C18" s="5"/>
      <c r="D18" s="5"/>
      <c r="E18" s="5"/>
      <c r="F18" s="5"/>
      <c r="G18" s="5"/>
      <c r="H18" s="5"/>
    </row>
    <row r="19" spans="2:11" ht="21.75" customHeight="1" x14ac:dyDescent="0.3">
      <c r="B19" s="22" t="s">
        <v>33</v>
      </c>
      <c r="C19" s="23" t="s">
        <v>34</v>
      </c>
      <c r="D19" s="23" t="s">
        <v>35</v>
      </c>
      <c r="F19" s="23" t="s">
        <v>36</v>
      </c>
      <c r="G19" s="23" t="s">
        <v>37</v>
      </c>
      <c r="H19" s="24" t="s">
        <v>38</v>
      </c>
    </row>
    <row r="20" spans="2:11" ht="25.5" customHeight="1" x14ac:dyDescent="0.3">
      <c r="B20" s="25" t="s">
        <v>26</v>
      </c>
      <c r="C20" s="26">
        <v>69</v>
      </c>
      <c r="D20" s="46">
        <v>293.33</v>
      </c>
      <c r="F20" s="47" t="s">
        <v>39</v>
      </c>
      <c r="G20" s="48" t="s">
        <v>40</v>
      </c>
      <c r="H20" s="49" t="s">
        <v>41</v>
      </c>
    </row>
    <row r="21" spans="2:11" ht="25.5" customHeight="1" x14ac:dyDescent="0.3">
      <c r="B21" s="31" t="s">
        <v>27</v>
      </c>
      <c r="C21" s="32">
        <v>352</v>
      </c>
      <c r="D21" s="50">
        <v>496.67</v>
      </c>
      <c r="F21" s="51" t="s">
        <v>42</v>
      </c>
      <c r="G21" s="52" t="s">
        <v>43</v>
      </c>
      <c r="H21" s="53" t="s">
        <v>44</v>
      </c>
    </row>
    <row r="22" spans="2:11" ht="25.5" customHeight="1" x14ac:dyDescent="0.3">
      <c r="B22" s="25" t="s">
        <v>29</v>
      </c>
      <c r="C22" s="26">
        <v>310</v>
      </c>
      <c r="D22" s="46">
        <v>225</v>
      </c>
      <c r="F22" s="47" t="s">
        <v>45</v>
      </c>
      <c r="G22" s="48" t="s">
        <v>40</v>
      </c>
      <c r="H22" s="49" t="s">
        <v>41</v>
      </c>
    </row>
    <row r="23" spans="2:11" ht="25.5" customHeight="1" x14ac:dyDescent="0.3">
      <c r="B23" s="31" t="s">
        <v>30</v>
      </c>
      <c r="C23" s="32">
        <v>72</v>
      </c>
      <c r="D23" s="50">
        <v>260</v>
      </c>
      <c r="F23" s="51" t="s">
        <v>46</v>
      </c>
      <c r="G23" s="52" t="s">
        <v>43</v>
      </c>
      <c r="H23" s="53" t="s">
        <v>44</v>
      </c>
    </row>
    <row r="24" spans="2:11" ht="25.5" customHeight="1" x14ac:dyDescent="0.3">
      <c r="B24" s="25" t="s">
        <v>31</v>
      </c>
      <c r="C24" s="26">
        <v>8</v>
      </c>
      <c r="D24" s="46">
        <v>580</v>
      </c>
      <c r="F24" s="47" t="s">
        <v>47</v>
      </c>
      <c r="G24" s="54" t="s">
        <v>48</v>
      </c>
      <c r="H24" s="55" t="s">
        <v>49</v>
      </c>
    </row>
    <row r="25" spans="2:11" ht="21.75" customHeight="1" x14ac:dyDescent="0.3">
      <c r="B25" s="43" t="s">
        <v>50</v>
      </c>
      <c r="C25" s="44">
        <f>SUM(C20:C24)</f>
        <v>811</v>
      </c>
      <c r="D25" s="56">
        <f>AVERAGE(D20:D24)</f>
        <v>371</v>
      </c>
      <c r="E25" s="57"/>
      <c r="F25" s="57"/>
      <c r="G25" s="57"/>
      <c r="H25" s="58"/>
    </row>
    <row r="26" spans="2:11" ht="9.75" customHeight="1" x14ac:dyDescent="0.3"/>
    <row r="27" spans="2:11" ht="21.75" customHeight="1" x14ac:dyDescent="0.3">
      <c r="B27" s="4" t="s">
        <v>51</v>
      </c>
      <c r="C27" s="4"/>
      <c r="D27" s="4"/>
      <c r="E27" s="4"/>
      <c r="F27" s="4"/>
      <c r="G27" s="4"/>
      <c r="H27" s="4"/>
    </row>
  </sheetData>
  <mergeCells count="6">
    <mergeCell ref="B18:H18"/>
    <mergeCell ref="B27:H27"/>
    <mergeCell ref="B3:H3"/>
    <mergeCell ref="B5:H5"/>
    <mergeCell ref="B10:D10"/>
    <mergeCell ref="F10:H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I1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" customWidth="1"/>
    <col min="2" max="2" width="13" customWidth="1"/>
    <col min="3" max="3" width="24" customWidth="1"/>
    <col min="4" max="4" width="16" customWidth="1"/>
    <col min="5" max="6" width="15" customWidth="1"/>
    <col min="7" max="7" width="14" customWidth="1"/>
    <col min="8" max="8" width="18" customWidth="1"/>
    <col min="9" max="9" width="16" customWidth="1"/>
  </cols>
  <sheetData>
    <row r="1" spans="2:9" ht="7.5" customHeight="1" x14ac:dyDescent="0.3"/>
    <row r="2" spans="2:9" ht="37.5" customHeight="1" x14ac:dyDescent="0.3">
      <c r="B2" s="3" t="s">
        <v>52</v>
      </c>
      <c r="C2" s="3"/>
      <c r="D2" s="3"/>
      <c r="E2" s="3"/>
      <c r="F2" s="3"/>
      <c r="G2" s="3"/>
      <c r="H2" s="3"/>
      <c r="I2" s="3"/>
    </row>
    <row r="3" spans="2:9" ht="21.75" customHeight="1" x14ac:dyDescent="0.3">
      <c r="B3" s="59" t="s">
        <v>53</v>
      </c>
      <c r="C3" s="60" t="s">
        <v>54</v>
      </c>
      <c r="D3" s="60" t="s">
        <v>0</v>
      </c>
      <c r="E3" s="60" t="s">
        <v>55</v>
      </c>
      <c r="F3" s="60" t="s">
        <v>56</v>
      </c>
      <c r="G3" s="60" t="s">
        <v>57</v>
      </c>
      <c r="H3" s="60" t="s">
        <v>22</v>
      </c>
      <c r="I3" s="61" t="s">
        <v>58</v>
      </c>
    </row>
    <row r="4" spans="2:9" ht="21.75" customHeight="1" x14ac:dyDescent="0.3">
      <c r="B4" s="62" t="s">
        <v>59</v>
      </c>
      <c r="C4" s="63" t="s">
        <v>60</v>
      </c>
      <c r="D4" s="26" t="s">
        <v>2</v>
      </c>
      <c r="E4" s="26">
        <v>50</v>
      </c>
      <c r="F4" s="26">
        <v>20</v>
      </c>
      <c r="G4" s="64">
        <v>100</v>
      </c>
      <c r="H4" s="64">
        <v>5000</v>
      </c>
      <c r="I4" s="65" t="s">
        <v>61</v>
      </c>
    </row>
    <row r="5" spans="2:9" ht="21.75" customHeight="1" x14ac:dyDescent="0.3">
      <c r="B5" s="66" t="s">
        <v>62</v>
      </c>
      <c r="C5" s="67" t="s">
        <v>63</v>
      </c>
      <c r="D5" s="32" t="s">
        <v>4</v>
      </c>
      <c r="E5" s="32">
        <v>200</v>
      </c>
      <c r="F5" s="32">
        <v>100</v>
      </c>
      <c r="G5" s="68">
        <v>5</v>
      </c>
      <c r="H5" s="68">
        <v>1000</v>
      </c>
      <c r="I5" s="65" t="s">
        <v>61</v>
      </c>
    </row>
    <row r="6" spans="2:9" ht="21.75" customHeight="1" x14ac:dyDescent="0.3">
      <c r="B6" s="62" t="s">
        <v>64</v>
      </c>
      <c r="C6" s="63" t="s">
        <v>65</v>
      </c>
      <c r="D6" s="26" t="s">
        <v>5</v>
      </c>
      <c r="E6" s="26">
        <v>15</v>
      </c>
      <c r="F6" s="26">
        <v>10</v>
      </c>
      <c r="G6" s="64">
        <v>250</v>
      </c>
      <c r="H6" s="64">
        <v>3750</v>
      </c>
      <c r="I6" s="65" t="s">
        <v>61</v>
      </c>
    </row>
    <row r="7" spans="2:9" ht="21.75" customHeight="1" x14ac:dyDescent="0.3">
      <c r="B7" s="66" t="s">
        <v>66</v>
      </c>
      <c r="C7" s="67" t="s">
        <v>67</v>
      </c>
      <c r="D7" s="32" t="s">
        <v>2</v>
      </c>
      <c r="E7" s="32">
        <v>10</v>
      </c>
      <c r="F7" s="32">
        <v>5</v>
      </c>
      <c r="G7" s="68">
        <v>400</v>
      </c>
      <c r="H7" s="68">
        <v>4000</v>
      </c>
      <c r="I7" s="65" t="s">
        <v>61</v>
      </c>
    </row>
    <row r="8" spans="2:9" ht="21.75" customHeight="1" x14ac:dyDescent="0.3">
      <c r="B8" s="62" t="s">
        <v>68</v>
      </c>
      <c r="C8" s="63" t="s">
        <v>69</v>
      </c>
      <c r="D8" s="26" t="s">
        <v>7</v>
      </c>
      <c r="E8" s="26">
        <v>3</v>
      </c>
      <c r="F8" s="26">
        <v>2</v>
      </c>
      <c r="G8" s="64">
        <v>12000</v>
      </c>
      <c r="H8" s="64">
        <v>36000</v>
      </c>
      <c r="I8" s="65" t="s">
        <v>61</v>
      </c>
    </row>
    <row r="9" spans="2:9" ht="21.75" customHeight="1" x14ac:dyDescent="0.3">
      <c r="B9" s="66" t="s">
        <v>70</v>
      </c>
      <c r="C9" s="67" t="s">
        <v>71</v>
      </c>
      <c r="D9" s="32" t="s">
        <v>4</v>
      </c>
      <c r="E9" s="32">
        <v>80</v>
      </c>
      <c r="F9" s="32">
        <v>40</v>
      </c>
      <c r="G9" s="68">
        <v>20</v>
      </c>
      <c r="H9" s="68">
        <v>1600</v>
      </c>
      <c r="I9" s="65" t="s">
        <v>61</v>
      </c>
    </row>
    <row r="10" spans="2:9" ht="21.75" customHeight="1" x14ac:dyDescent="0.3">
      <c r="B10" s="62" t="s">
        <v>72</v>
      </c>
      <c r="C10" s="63" t="s">
        <v>73</v>
      </c>
      <c r="D10" s="26" t="s">
        <v>5</v>
      </c>
      <c r="E10" s="26">
        <v>5</v>
      </c>
      <c r="F10" s="26">
        <v>3</v>
      </c>
      <c r="G10" s="64">
        <v>5000</v>
      </c>
      <c r="H10" s="64">
        <v>25000</v>
      </c>
      <c r="I10" s="65" t="s">
        <v>61</v>
      </c>
    </row>
    <row r="11" spans="2:9" ht="21.75" customHeight="1" x14ac:dyDescent="0.3">
      <c r="B11" s="66" t="s">
        <v>74</v>
      </c>
      <c r="C11" s="67" t="s">
        <v>75</v>
      </c>
      <c r="D11" s="32" t="s">
        <v>2</v>
      </c>
      <c r="E11" s="32">
        <v>12</v>
      </c>
      <c r="F11" s="32">
        <v>5</v>
      </c>
      <c r="G11" s="68">
        <v>150</v>
      </c>
      <c r="H11" s="68">
        <v>1800</v>
      </c>
      <c r="I11" s="65" t="s">
        <v>61</v>
      </c>
    </row>
    <row r="12" spans="2:9" ht="21.75" customHeight="1" x14ac:dyDescent="0.3">
      <c r="B12" s="62" t="s">
        <v>76</v>
      </c>
      <c r="C12" s="63" t="s">
        <v>77</v>
      </c>
      <c r="D12" s="26" t="s">
        <v>7</v>
      </c>
      <c r="E12" s="26">
        <v>7</v>
      </c>
      <c r="F12" s="26">
        <v>3</v>
      </c>
      <c r="G12" s="64">
        <v>300</v>
      </c>
      <c r="H12" s="64">
        <v>2100</v>
      </c>
      <c r="I12" s="65" t="s">
        <v>61</v>
      </c>
    </row>
    <row r="13" spans="2:9" ht="21.75" customHeight="1" x14ac:dyDescent="0.3">
      <c r="B13" s="66" t="s">
        <v>78</v>
      </c>
      <c r="C13" s="67" t="s">
        <v>79</v>
      </c>
      <c r="D13" s="32" t="s">
        <v>4</v>
      </c>
      <c r="E13" s="32">
        <v>2</v>
      </c>
      <c r="F13" s="32">
        <v>1</v>
      </c>
      <c r="G13" s="68">
        <v>2500</v>
      </c>
      <c r="H13" s="68">
        <v>5000</v>
      </c>
      <c r="I13" s="65" t="s">
        <v>61</v>
      </c>
    </row>
    <row r="14" spans="2:9" ht="21.75" customHeight="1" x14ac:dyDescent="0.3">
      <c r="B14" s="62" t="s">
        <v>80</v>
      </c>
      <c r="C14" s="63" t="s">
        <v>81</v>
      </c>
      <c r="D14" s="26" t="s">
        <v>5</v>
      </c>
      <c r="E14" s="26">
        <v>60</v>
      </c>
      <c r="F14" s="26">
        <v>30</v>
      </c>
      <c r="G14" s="64">
        <v>25</v>
      </c>
      <c r="H14" s="64">
        <v>1500</v>
      </c>
      <c r="I14" s="65" t="s">
        <v>61</v>
      </c>
    </row>
    <row r="15" spans="2:9" ht="21.75" customHeight="1" x14ac:dyDescent="0.3">
      <c r="B15" s="66" t="s">
        <v>82</v>
      </c>
      <c r="C15" s="67" t="s">
        <v>83</v>
      </c>
      <c r="D15" s="32" t="s">
        <v>2</v>
      </c>
      <c r="E15" s="32">
        <v>150</v>
      </c>
      <c r="F15" s="32">
        <v>70</v>
      </c>
      <c r="G15" s="68">
        <v>10</v>
      </c>
      <c r="H15" s="68">
        <v>1500</v>
      </c>
      <c r="I15" s="65" t="s">
        <v>61</v>
      </c>
    </row>
    <row r="16" spans="2:9" ht="21.75" customHeight="1" x14ac:dyDescent="0.3">
      <c r="B16" s="62" t="s">
        <v>84</v>
      </c>
      <c r="C16" s="63" t="s">
        <v>85</v>
      </c>
      <c r="D16" s="26" t="s">
        <v>7</v>
      </c>
      <c r="E16" s="26">
        <v>8</v>
      </c>
      <c r="F16" s="26">
        <v>5</v>
      </c>
      <c r="G16" s="64">
        <v>400</v>
      </c>
      <c r="H16" s="64">
        <v>3200</v>
      </c>
      <c r="I16" s="65" t="s">
        <v>61</v>
      </c>
    </row>
    <row r="17" spans="2:9" ht="21.75" customHeight="1" x14ac:dyDescent="0.3">
      <c r="B17" s="66" t="s">
        <v>86</v>
      </c>
      <c r="C17" s="67" t="s">
        <v>87</v>
      </c>
      <c r="D17" s="32" t="s">
        <v>4</v>
      </c>
      <c r="E17" s="32">
        <v>6</v>
      </c>
      <c r="F17" s="32">
        <v>3</v>
      </c>
      <c r="G17" s="68">
        <v>600</v>
      </c>
      <c r="H17" s="68">
        <v>3600</v>
      </c>
      <c r="I17" s="65" t="s">
        <v>61</v>
      </c>
    </row>
    <row r="18" spans="2:9" ht="21.75" customHeight="1" x14ac:dyDescent="0.3">
      <c r="B18" s="62" t="s">
        <v>88</v>
      </c>
      <c r="C18" s="63" t="s">
        <v>89</v>
      </c>
      <c r="D18" s="26" t="s">
        <v>5</v>
      </c>
      <c r="E18" s="26">
        <v>10</v>
      </c>
      <c r="F18" s="26">
        <v>5</v>
      </c>
      <c r="G18" s="64">
        <v>350</v>
      </c>
      <c r="H18" s="64">
        <v>3500</v>
      </c>
      <c r="I18" s="65" t="s">
        <v>61</v>
      </c>
    </row>
    <row r="19" spans="2:9" ht="24" customHeight="1" x14ac:dyDescent="0.3">
      <c r="B19" s="43" t="s">
        <v>28</v>
      </c>
      <c r="C19" s="44"/>
      <c r="D19" s="44"/>
      <c r="E19" s="44">
        <f>SUM(E4:E18)</f>
        <v>618</v>
      </c>
      <c r="F19" s="44"/>
      <c r="G19" s="44"/>
      <c r="H19" s="69">
        <f>SUM(H4:H18)</f>
        <v>98550</v>
      </c>
      <c r="I19" s="70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6E56"/>
  </sheetPr>
  <dimension ref="B1:H1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" customWidth="1"/>
    <col min="2" max="2" width="14" customWidth="1"/>
    <col min="3" max="3" width="24" customWidth="1"/>
    <col min="4" max="5" width="14" customWidth="1"/>
    <col min="6" max="6" width="12" customWidth="1"/>
    <col min="7" max="7" width="20" customWidth="1"/>
    <col min="8" max="8" width="18" customWidth="1"/>
  </cols>
  <sheetData>
    <row r="1" spans="2:8" ht="7.5" customHeight="1" x14ac:dyDescent="0.3"/>
    <row r="2" spans="2:8" ht="37.5" customHeight="1" x14ac:dyDescent="0.3">
      <c r="B2" s="2" t="s">
        <v>90</v>
      </c>
      <c r="C2" s="2"/>
      <c r="D2" s="2"/>
      <c r="E2" s="2"/>
      <c r="F2" s="2"/>
      <c r="G2" s="2"/>
      <c r="H2" s="2"/>
    </row>
    <row r="3" spans="2:8" ht="21.75" customHeight="1" x14ac:dyDescent="0.3">
      <c r="B3" s="71" t="s">
        <v>91</v>
      </c>
      <c r="C3" s="72" t="s">
        <v>92</v>
      </c>
      <c r="D3" s="72" t="s">
        <v>93</v>
      </c>
      <c r="E3" s="72" t="s">
        <v>94</v>
      </c>
      <c r="F3" s="72" t="s">
        <v>95</v>
      </c>
      <c r="G3" s="72" t="s">
        <v>96</v>
      </c>
      <c r="H3" s="73" t="s">
        <v>23</v>
      </c>
    </row>
    <row r="4" spans="2:8" ht="21.75" customHeight="1" x14ac:dyDescent="0.3">
      <c r="B4" s="74" t="s">
        <v>97</v>
      </c>
      <c r="C4" s="63" t="s">
        <v>98</v>
      </c>
      <c r="D4" s="26" t="s">
        <v>99</v>
      </c>
      <c r="E4" s="26" t="s">
        <v>100</v>
      </c>
      <c r="F4" s="26">
        <v>50</v>
      </c>
      <c r="G4" s="64">
        <v>400</v>
      </c>
      <c r="H4" s="75" t="s">
        <v>16</v>
      </c>
    </row>
    <row r="5" spans="2:8" ht="21.75" customHeight="1" x14ac:dyDescent="0.3">
      <c r="B5" s="76" t="s">
        <v>101</v>
      </c>
      <c r="C5" s="67" t="s">
        <v>102</v>
      </c>
      <c r="D5" s="32" t="s">
        <v>103</v>
      </c>
      <c r="E5" s="32" t="s">
        <v>99</v>
      </c>
      <c r="F5" s="32">
        <v>200</v>
      </c>
      <c r="G5" s="68">
        <v>150</v>
      </c>
      <c r="H5" s="77" t="s">
        <v>17</v>
      </c>
    </row>
    <row r="6" spans="2:8" ht="21.75" customHeight="1" x14ac:dyDescent="0.3">
      <c r="B6" s="74" t="s">
        <v>104</v>
      </c>
      <c r="C6" s="63" t="s">
        <v>65</v>
      </c>
      <c r="D6" s="26" t="s">
        <v>100</v>
      </c>
      <c r="E6" s="26" t="s">
        <v>105</v>
      </c>
      <c r="F6" s="26">
        <v>10</v>
      </c>
      <c r="G6" s="64">
        <v>300</v>
      </c>
      <c r="H6" s="75" t="s">
        <v>16</v>
      </c>
    </row>
    <row r="7" spans="2:8" ht="21.75" customHeight="1" x14ac:dyDescent="0.3">
      <c r="B7" s="76" t="s">
        <v>106</v>
      </c>
      <c r="C7" s="67" t="s">
        <v>67</v>
      </c>
      <c r="D7" s="32" t="s">
        <v>99</v>
      </c>
      <c r="E7" s="32" t="s">
        <v>107</v>
      </c>
      <c r="F7" s="32">
        <v>8</v>
      </c>
      <c r="G7" s="68">
        <v>250</v>
      </c>
      <c r="H7" s="78" t="s">
        <v>20</v>
      </c>
    </row>
    <row r="8" spans="2:8" ht="21.75" customHeight="1" x14ac:dyDescent="0.3">
      <c r="B8" s="74" t="s">
        <v>108</v>
      </c>
      <c r="C8" s="63" t="s">
        <v>69</v>
      </c>
      <c r="D8" s="26" t="s">
        <v>103</v>
      </c>
      <c r="E8" s="26" t="s">
        <v>109</v>
      </c>
      <c r="F8" s="26">
        <v>2</v>
      </c>
      <c r="G8" s="64">
        <v>1200</v>
      </c>
      <c r="H8" s="75" t="s">
        <v>16</v>
      </c>
    </row>
    <row r="9" spans="2:8" ht="21.75" customHeight="1" x14ac:dyDescent="0.3">
      <c r="B9" s="76" t="s">
        <v>110</v>
      </c>
      <c r="C9" s="67" t="s">
        <v>111</v>
      </c>
      <c r="D9" s="32" t="s">
        <v>105</v>
      </c>
      <c r="E9" s="32" t="s">
        <v>99</v>
      </c>
      <c r="F9" s="32">
        <v>60</v>
      </c>
      <c r="G9" s="68">
        <v>200</v>
      </c>
      <c r="H9" s="77" t="s">
        <v>17</v>
      </c>
    </row>
    <row r="10" spans="2:8" ht="21.75" customHeight="1" x14ac:dyDescent="0.3">
      <c r="B10" s="74" t="s">
        <v>112</v>
      </c>
      <c r="C10" s="63" t="s">
        <v>73</v>
      </c>
      <c r="D10" s="26" t="s">
        <v>107</v>
      </c>
      <c r="E10" s="26" t="s">
        <v>100</v>
      </c>
      <c r="F10" s="26">
        <v>3</v>
      </c>
      <c r="G10" s="64">
        <v>900</v>
      </c>
      <c r="H10" s="75" t="s">
        <v>16</v>
      </c>
    </row>
    <row r="11" spans="2:8" ht="21.75" customHeight="1" x14ac:dyDescent="0.3">
      <c r="B11" s="76" t="s">
        <v>113</v>
      </c>
      <c r="C11" s="67" t="s">
        <v>75</v>
      </c>
      <c r="D11" s="32" t="s">
        <v>99</v>
      </c>
      <c r="E11" s="32" t="s">
        <v>103</v>
      </c>
      <c r="F11" s="32">
        <v>15</v>
      </c>
      <c r="G11" s="68">
        <v>180</v>
      </c>
      <c r="H11" s="78" t="s">
        <v>20</v>
      </c>
    </row>
    <row r="12" spans="2:8" ht="21.75" customHeight="1" x14ac:dyDescent="0.3">
      <c r="B12" s="74" t="s">
        <v>114</v>
      </c>
      <c r="C12" s="63" t="s">
        <v>77</v>
      </c>
      <c r="D12" s="26" t="s">
        <v>109</v>
      </c>
      <c r="E12" s="26" t="s">
        <v>105</v>
      </c>
      <c r="F12" s="26">
        <v>6</v>
      </c>
      <c r="G12" s="64">
        <v>350</v>
      </c>
      <c r="H12" s="75" t="s">
        <v>16</v>
      </c>
    </row>
    <row r="13" spans="2:8" ht="21.75" customHeight="1" x14ac:dyDescent="0.3">
      <c r="B13" s="76" t="s">
        <v>115</v>
      </c>
      <c r="C13" s="67" t="s">
        <v>87</v>
      </c>
      <c r="D13" s="32" t="s">
        <v>100</v>
      </c>
      <c r="E13" s="32" t="s">
        <v>107</v>
      </c>
      <c r="F13" s="32">
        <v>4</v>
      </c>
      <c r="G13" s="68">
        <v>280</v>
      </c>
      <c r="H13" s="77" t="s">
        <v>17</v>
      </c>
    </row>
    <row r="14" spans="2:8" ht="21.75" customHeight="1" x14ac:dyDescent="0.3">
      <c r="B14" s="74" t="s">
        <v>116</v>
      </c>
      <c r="C14" s="63" t="s">
        <v>81</v>
      </c>
      <c r="D14" s="26" t="s">
        <v>99</v>
      </c>
      <c r="E14" s="26" t="s">
        <v>109</v>
      </c>
      <c r="F14" s="26">
        <v>70</v>
      </c>
      <c r="G14" s="64">
        <v>220</v>
      </c>
      <c r="H14" s="75" t="s">
        <v>16</v>
      </c>
    </row>
    <row r="15" spans="2:8" ht="21.75" customHeight="1" x14ac:dyDescent="0.3">
      <c r="B15" s="76" t="s">
        <v>117</v>
      </c>
      <c r="C15" s="67" t="s">
        <v>83</v>
      </c>
      <c r="D15" s="32" t="s">
        <v>103</v>
      </c>
      <c r="E15" s="32" t="s">
        <v>100</v>
      </c>
      <c r="F15" s="32">
        <v>150</v>
      </c>
      <c r="G15" s="68">
        <v>140</v>
      </c>
      <c r="H15" s="75" t="s">
        <v>16</v>
      </c>
    </row>
    <row r="16" spans="2:8" ht="21.75" customHeight="1" x14ac:dyDescent="0.3">
      <c r="B16" s="74" t="s">
        <v>118</v>
      </c>
      <c r="C16" s="63" t="s">
        <v>89</v>
      </c>
      <c r="D16" s="26" t="s">
        <v>105</v>
      </c>
      <c r="E16" s="26" t="s">
        <v>99</v>
      </c>
      <c r="F16" s="26">
        <v>12</v>
      </c>
      <c r="G16" s="64">
        <v>320</v>
      </c>
      <c r="H16" s="77" t="s">
        <v>17</v>
      </c>
    </row>
    <row r="17" spans="2:8" ht="21.75" customHeight="1" x14ac:dyDescent="0.3">
      <c r="B17" s="76" t="s">
        <v>119</v>
      </c>
      <c r="C17" s="67" t="s">
        <v>85</v>
      </c>
      <c r="D17" s="32" t="s">
        <v>107</v>
      </c>
      <c r="E17" s="32" t="s">
        <v>103</v>
      </c>
      <c r="F17" s="32">
        <v>5</v>
      </c>
      <c r="G17" s="68">
        <v>260</v>
      </c>
      <c r="H17" s="78" t="s">
        <v>20</v>
      </c>
    </row>
    <row r="18" spans="2:8" ht="21.75" customHeight="1" x14ac:dyDescent="0.3">
      <c r="B18" s="74" t="s">
        <v>120</v>
      </c>
      <c r="C18" s="63" t="s">
        <v>121</v>
      </c>
      <c r="D18" s="26" t="s">
        <v>100</v>
      </c>
      <c r="E18" s="26" t="s">
        <v>105</v>
      </c>
      <c r="F18" s="26">
        <v>300</v>
      </c>
      <c r="G18" s="64">
        <v>130</v>
      </c>
      <c r="H18" s="75" t="s">
        <v>16</v>
      </c>
    </row>
    <row r="19" spans="2:8" ht="24" customHeight="1" x14ac:dyDescent="0.3">
      <c r="B19" s="79" t="s">
        <v>28</v>
      </c>
      <c r="C19" s="80"/>
      <c r="D19" s="80"/>
      <c r="E19" s="80"/>
      <c r="F19" s="80">
        <f>SUM(F4:F18)</f>
        <v>895</v>
      </c>
      <c r="G19" s="81">
        <f>SUM(G4:G18)</f>
        <v>5280</v>
      </c>
      <c r="H19" s="82"/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860A"/>
  </sheetPr>
  <dimension ref="B1:G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" customWidth="1"/>
    <col min="2" max="2" width="20" customWidth="1"/>
    <col min="3" max="3" width="18" customWidth="1"/>
    <col min="4" max="4" width="22" customWidth="1"/>
    <col min="5" max="5" width="40" customWidth="1"/>
    <col min="6" max="6" width="14" customWidth="1"/>
    <col min="7" max="7" width="18" customWidth="1"/>
  </cols>
  <sheetData>
    <row r="1" spans="2:7" ht="7.5" customHeight="1" x14ac:dyDescent="0.3"/>
    <row r="2" spans="2:7" ht="37.5" customHeight="1" x14ac:dyDescent="0.3">
      <c r="B2" s="1" t="s">
        <v>122</v>
      </c>
      <c r="C2" s="1"/>
      <c r="D2" s="1"/>
      <c r="E2" s="1"/>
      <c r="F2" s="1"/>
      <c r="G2" s="1"/>
    </row>
    <row r="3" spans="2:7" ht="21.75" customHeight="1" x14ac:dyDescent="0.3">
      <c r="B3" s="83" t="s">
        <v>0</v>
      </c>
      <c r="C3" s="84" t="s">
        <v>25</v>
      </c>
      <c r="D3" s="84" t="s">
        <v>35</v>
      </c>
      <c r="E3" s="84" t="s">
        <v>36</v>
      </c>
      <c r="F3" s="84" t="s">
        <v>37</v>
      </c>
      <c r="G3" s="85" t="s">
        <v>38</v>
      </c>
    </row>
    <row r="4" spans="2:7" ht="36" customHeight="1" x14ac:dyDescent="0.3">
      <c r="B4" s="86" t="s">
        <v>26</v>
      </c>
      <c r="C4" s="87">
        <v>69</v>
      </c>
      <c r="D4" s="88">
        <v>293.33</v>
      </c>
      <c r="E4" s="89" t="s">
        <v>39</v>
      </c>
      <c r="F4" s="48" t="s">
        <v>40</v>
      </c>
      <c r="G4" s="90" t="s">
        <v>41</v>
      </c>
    </row>
    <row r="5" spans="2:7" ht="36" customHeight="1" x14ac:dyDescent="0.3">
      <c r="B5" s="91" t="s">
        <v>27</v>
      </c>
      <c r="C5" s="32">
        <v>352</v>
      </c>
      <c r="D5" s="50">
        <v>496.67</v>
      </c>
      <c r="E5" s="51" t="s">
        <v>42</v>
      </c>
      <c r="F5" s="52" t="s">
        <v>43</v>
      </c>
      <c r="G5" s="92" t="s">
        <v>44</v>
      </c>
    </row>
    <row r="6" spans="2:7" ht="36" customHeight="1" x14ac:dyDescent="0.3">
      <c r="B6" s="86" t="s">
        <v>29</v>
      </c>
      <c r="C6" s="87">
        <v>310</v>
      </c>
      <c r="D6" s="88">
        <v>225</v>
      </c>
      <c r="E6" s="89" t="s">
        <v>45</v>
      </c>
      <c r="F6" s="48" t="s">
        <v>40</v>
      </c>
      <c r="G6" s="90" t="s">
        <v>41</v>
      </c>
    </row>
    <row r="7" spans="2:7" ht="36" customHeight="1" x14ac:dyDescent="0.3">
      <c r="B7" s="91" t="s">
        <v>30</v>
      </c>
      <c r="C7" s="32">
        <v>72</v>
      </c>
      <c r="D7" s="50">
        <v>260</v>
      </c>
      <c r="E7" s="51" t="s">
        <v>46</v>
      </c>
      <c r="F7" s="52" t="s">
        <v>43</v>
      </c>
      <c r="G7" s="92" t="s">
        <v>44</v>
      </c>
    </row>
    <row r="8" spans="2:7" ht="36" customHeight="1" x14ac:dyDescent="0.3">
      <c r="B8" s="86" t="s">
        <v>31</v>
      </c>
      <c r="C8" s="87">
        <v>8</v>
      </c>
      <c r="D8" s="88">
        <v>580</v>
      </c>
      <c r="E8" s="89" t="s">
        <v>47</v>
      </c>
      <c r="F8" s="54" t="s">
        <v>48</v>
      </c>
      <c r="G8" s="93" t="s">
        <v>49</v>
      </c>
    </row>
    <row r="9" spans="2:7" ht="24" customHeight="1" x14ac:dyDescent="0.3">
      <c r="B9" s="94" t="s">
        <v>123</v>
      </c>
      <c r="C9" s="95">
        <f>SUM(C4:C8)</f>
        <v>811</v>
      </c>
      <c r="D9" s="96">
        <f>AVERAGE(D4:D8)</f>
        <v>371</v>
      </c>
      <c r="E9" s="95"/>
      <c r="F9" s="95"/>
      <c r="G9" s="97"/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Inventory</vt:lpstr>
      <vt:lpstr>Shipments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Ijas Ahamed</cp:lastModifiedBy>
  <cp:revision>1</cp:revision>
  <dcterms:created xsi:type="dcterms:W3CDTF">2026-03-27T02:35:50Z</dcterms:created>
  <dcterms:modified xsi:type="dcterms:W3CDTF">2026-03-27T02:43:21Z</dcterms:modified>
  <dc:language>en-US</dc:language>
</cp:coreProperties>
</file>