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Ijasa\Downloads\"/>
    </mc:Choice>
  </mc:AlternateContent>
  <xr:revisionPtr revIDLastSave="0" documentId="8_{605DFEF5-91EF-44F9-8E9F-EDBF60E6CA82}" xr6:coauthVersionLast="47" xr6:coauthVersionMax="47" xr10:uidLastSave="{00000000-0000-0000-0000-000000000000}"/>
  <bookViews>
    <workbookView xWindow="-108" yWindow="-108" windowWidth="23256" windowHeight="12456" tabRatio="500" activeTab="2" xr2:uid="{00000000-000D-0000-FFFF-FFFF00000000}"/>
  </bookViews>
  <sheets>
    <sheet name="Scoring Weights" sheetId="1" r:id="rId1"/>
    <sheet name="Supplier Data" sheetId="2" r:id="rId2"/>
    <sheet name="Supplier Scorecard" sheetId="3" r:id="rId3"/>
    <sheet name="KPI Dashboard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4" i="4" l="1"/>
  <c r="B13" i="4"/>
  <c r="B4" i="4"/>
  <c r="G9" i="3"/>
  <c r="F9" i="3"/>
  <c r="E9" i="3"/>
  <c r="D9" i="3"/>
  <c r="C9" i="3"/>
  <c r="B9" i="3"/>
  <c r="G8" i="3"/>
  <c r="H8" i="3" s="1"/>
  <c r="I8" i="3" s="1"/>
  <c r="G7" i="3"/>
  <c r="H7" i="3" s="1"/>
  <c r="I7" i="3" s="1"/>
  <c r="G6" i="3"/>
  <c r="H6" i="3" s="1"/>
  <c r="I6" i="3" s="1"/>
  <c r="G5" i="3"/>
  <c r="H5" i="3" s="1"/>
  <c r="I5" i="3" s="1"/>
  <c r="G4" i="3"/>
  <c r="B12" i="4" s="1"/>
  <c r="B10" i="1"/>
  <c r="H9" i="3" l="1"/>
  <c r="H4" i="3"/>
  <c r="B8" i="4"/>
  <c r="B9" i="4"/>
  <c r="B10" i="4"/>
  <c r="B11" i="4"/>
  <c r="I4" i="3" l="1"/>
  <c r="B7" i="4"/>
  <c r="B6" i="4"/>
  <c r="B5" i="4"/>
</calcChain>
</file>

<file path=xl/sharedStrings.xml><?xml version="1.0" encoding="utf-8"?>
<sst xmlns="http://schemas.openxmlformats.org/spreadsheetml/2006/main" count="123" uniqueCount="108">
  <si>
    <t>Supplier Scorecard – Scoring Weights &amp; Grade Thresholds</t>
  </si>
  <si>
    <t>Adjust weights (must total 100%) and grade thresholds below — all scorecard calculations update automatically</t>
  </si>
  <si>
    <t>Scoring Criteria</t>
  </si>
  <si>
    <t>Weight (%)</t>
  </si>
  <si>
    <t>Score Range</t>
  </si>
  <si>
    <t>Notes</t>
  </si>
  <si>
    <t>On-Time Delivery Rate</t>
  </si>
  <si>
    <t>0 – 10</t>
  </si>
  <si>
    <t>% shipments delivered on schedule</t>
  </si>
  <si>
    <t>Delivery Cost Efficiency</t>
  </si>
  <si>
    <t>Lower avg cost = higher score</t>
  </si>
  <si>
    <t>Volume Reliability</t>
  </si>
  <si>
    <t>Consistency &amp; quantity supplied</t>
  </si>
  <si>
    <t>Quality / Remarks</t>
  </si>
  <si>
    <t>Good=10, Average=6, Poor=2</t>
  </si>
  <si>
    <t>Delay Frequency</t>
  </si>
  <si>
    <t>Fewer delays = higher score</t>
  </si>
  <si>
    <t>TOTAL WEIGHT</t>
  </si>
  <si>
    <t>Grade Thresholds (Weighted Score out of 10)</t>
  </si>
  <si>
    <t>Grade</t>
  </si>
  <si>
    <t>Min Score</t>
  </si>
  <si>
    <t>Max Score</t>
  </si>
  <si>
    <t>Label</t>
  </si>
  <si>
    <t>A</t>
  </si>
  <si>
    <t>Excellent Supplier</t>
  </si>
  <si>
    <t>B</t>
  </si>
  <si>
    <t>Acceptable Supplier</t>
  </si>
  <si>
    <t>C</t>
  </si>
  <si>
    <t>Poor Supplier – Review Required</t>
  </si>
  <si>
    <t>Supplier Raw Performance Data</t>
  </si>
  <si>
    <t>Source data from Supplier_Performance.xlsx and Shipment_Tracking.xlsx  |  Blue = editable inputs</t>
  </si>
  <si>
    <t>Supplier</t>
  </si>
  <si>
    <t>Products Supplied</t>
  </si>
  <si>
    <t>Total
Qty Supplied</t>
  </si>
  <si>
    <t>Avg Shipment
Cost (€)</t>
  </si>
  <si>
    <t>Shipments
Total</t>
  </si>
  <si>
    <t>Delivered
(On-Time)</t>
  </si>
  <si>
    <t>Delayed</t>
  </si>
  <si>
    <t>In Transit</t>
  </si>
  <si>
    <t>Remarks</t>
  </si>
  <si>
    <t>Berlin Supply</t>
  </si>
  <si>
    <t>Pallets, Hand Truck, Warehouse Scale</t>
  </si>
  <si>
    <t>Good</t>
  </si>
  <si>
    <t>Munich Supply</t>
  </si>
  <si>
    <t>Packaging Boxes, Forklift, Gloves</t>
  </si>
  <si>
    <t>Average</t>
  </si>
  <si>
    <t>Hamburg Supply</t>
  </si>
  <si>
    <t>Barcode Scanner, Packaging Tape</t>
  </si>
  <si>
    <t>Frankfurt Supply</t>
  </si>
  <si>
    <t>Storage Bins, Inventory Scanner</t>
  </si>
  <si>
    <t>Cologne Supply</t>
  </si>
  <si>
    <t>Conveyor Belt, Industrial Fan</t>
  </si>
  <si>
    <t>Poor</t>
  </si>
  <si>
    <t>Supplier Scorecard – Weighted Performance Rating</t>
  </si>
  <si>
    <t>Weighted Score = Σ (Criterion Score × Weight)  |  Scores 0–10  |  Grade A ≥ 7.5  |  Grade B ≥ 5.0  |  Grade C &lt; 5.0</t>
  </si>
  <si>
    <t>On-Time
Delivery
(30%)</t>
  </si>
  <si>
    <t>Cost
Efficiency
(25%)</t>
  </si>
  <si>
    <t>Volume
Reliability
(20%)</t>
  </si>
  <si>
    <t>Quality /
Remarks
(15%)</t>
  </si>
  <si>
    <t>Delay
Frequency
(10%)</t>
  </si>
  <si>
    <t>Weighted
Score
(/10)</t>
  </si>
  <si>
    <t>Grade
(A/B/C)</t>
  </si>
  <si>
    <t>Rating
Label</t>
  </si>
  <si>
    <t>AVERAGE / BEST</t>
  </si>
  <si>
    <t>← Best Supplier</t>
  </si>
  <si>
    <t>Supplier Scorecard – KPI Summary Dashboard</t>
  </si>
  <si>
    <t>Live summary pulling from Supplier Scorecard  |  Grade A ≥ 7.5  |  Grade B ≥ 5.0  |  Grade C &lt; 5.0</t>
  </si>
  <si>
    <t>KPI Metric</t>
  </si>
  <si>
    <t>Value</t>
  </si>
  <si>
    <t>Formula Source</t>
  </si>
  <si>
    <t>Interpretation</t>
  </si>
  <si>
    <t>Total Suppliers Evaluated</t>
  </si>
  <si>
    <t>COUNT of supplier rows</t>
  </si>
  <si>
    <t>All active suppliers</t>
  </si>
  <si>
    <t>Grade A Suppliers</t>
  </si>
  <si>
    <t>COUNTIF Grade = "A"</t>
  </si>
  <si>
    <t>Excellent performers</t>
  </si>
  <si>
    <t>Grade B Suppliers</t>
  </si>
  <si>
    <t>COUNTIF Grade = "B"</t>
  </si>
  <si>
    <t>Acceptable performers</t>
  </si>
  <si>
    <t>Grade C Suppliers</t>
  </si>
  <si>
    <t>COUNTIF Grade = "C"</t>
  </si>
  <si>
    <t>Poor – action required</t>
  </si>
  <si>
    <t>Average Weighted Score</t>
  </si>
  <si>
    <t>AVERAGE of G4:G8</t>
  </si>
  <si>
    <t>Overall supplier pool performance</t>
  </si>
  <si>
    <t>Highest Score</t>
  </si>
  <si>
    <t>MAX weighted score</t>
  </si>
  <si>
    <t>Best performing supplier score</t>
  </si>
  <si>
    <t>Lowest Score</t>
  </si>
  <si>
    <t>MIN weighted score</t>
  </si>
  <si>
    <t>Weakest supplier score</t>
  </si>
  <si>
    <t>Best Supplier (by Score)</t>
  </si>
  <si>
    <t>Top-rated supplier</t>
  </si>
  <si>
    <t>Worst Supplier (by Score)</t>
  </si>
  <si>
    <t>INDEX/MATCH on min score</t>
  </si>
  <si>
    <t>Supplier needing urgent review</t>
  </si>
  <si>
    <t>Best On-Time Delivery Score</t>
  </si>
  <si>
    <t>MAX of column B (On-Time)</t>
  </si>
  <si>
    <t>Highest delivery reliability score</t>
  </si>
  <si>
    <t>Best Cost Efficiency Score</t>
  </si>
  <si>
    <t>MAX of column C (Cost)</t>
  </si>
  <si>
    <t>Best cost-per-shipment performance</t>
  </si>
  <si>
    <t>Grade Legend</t>
  </si>
  <si>
    <t>Score ≥ 7.5 – Excellent Supplier</t>
  </si>
  <si>
    <t>Score ≥ 5.0 – Acceptable Supplier</t>
  </si>
  <si>
    <t>Score &lt; 5.0 – Poor Supplier – Review Required</t>
  </si>
  <si>
    <r>
      <t>I</t>
    </r>
    <r>
      <rPr>
        <sz val="9"/>
        <color rgb="FF595959"/>
        <rFont val="Arial"/>
        <family val="2"/>
      </rPr>
      <t>NDEX/MATCH on max score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</si>
</sst>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\€#,##0.00"/>
  </numFmts>
  <fonts count="31" x14ac:knownFonts="1">
    <font>
      <sz val="11"/>
      <color theme="1"/>
      <name val="Calibri"/>
      <family val="2"/>
      <charset val="1"/>
    </font>
    <font>
      <b/>
      <sz val="14"/>
      <color rgb="FFFFFFFF"/>
      <name val="Arial"/>
      <family val="2"/>
    </font>
    <font>
      <i/>
      <sz val="9"/>
      <color rgb="FF595959"/>
      <name val="Arial"/>
      <family val="2"/>
    </font>
    <font>
      <b/>
      <sz val="10"/>
      <color rgb="FFFFFFFF"/>
      <name val="Arial"/>
      <family val="2"/>
    </font>
    <font>
      <b/>
      <sz val="10"/>
      <name val="Arial"/>
      <family val="2"/>
    </font>
    <font>
      <b/>
      <sz val="10"/>
      <color rgb="FF0000FF"/>
      <name val="Arial"/>
      <family val="2"/>
    </font>
    <font>
      <sz val="10"/>
      <name val="Arial"/>
      <family val="2"/>
    </font>
    <font>
      <b/>
      <sz val="11"/>
      <color rgb="FFFFFFFF"/>
      <name val="Arial"/>
      <family val="2"/>
    </font>
    <font>
      <b/>
      <sz val="12"/>
      <color rgb="FF70AD47"/>
      <name val="Arial"/>
      <family val="2"/>
    </font>
    <font>
      <b/>
      <sz val="11"/>
      <color rgb="FF70AD47"/>
      <name val="Arial"/>
      <family val="2"/>
    </font>
    <font>
      <sz val="10"/>
      <color rgb="FF70AD47"/>
      <name val="Arial"/>
      <family val="2"/>
    </font>
    <font>
      <b/>
      <sz val="12"/>
      <color rgb="FFB8860B"/>
      <name val="Arial"/>
      <family val="2"/>
    </font>
    <font>
      <b/>
      <sz val="11"/>
      <color rgb="FFB8860B"/>
      <name val="Arial"/>
      <family val="2"/>
    </font>
    <font>
      <sz val="10"/>
      <color rgb="FFB8860B"/>
      <name val="Arial"/>
      <family val="2"/>
    </font>
    <font>
      <b/>
      <sz val="12"/>
      <color rgb="FFFF0000"/>
      <name val="Arial"/>
      <family val="2"/>
    </font>
    <font>
      <b/>
      <sz val="11"/>
      <color rgb="FFFF0000"/>
      <name val="Arial"/>
      <family val="2"/>
    </font>
    <font>
      <sz val="10"/>
      <color rgb="FFFF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FF"/>
      <name val="Arial"/>
      <family val="2"/>
    </font>
    <font>
      <b/>
      <sz val="10"/>
      <color rgb="FF008000"/>
      <name val="Arial"/>
      <family val="2"/>
    </font>
    <font>
      <b/>
      <sz val="10"/>
      <color rgb="FFFF0000"/>
      <name val="Arial"/>
      <family val="2"/>
    </font>
    <font>
      <b/>
      <sz val="10"/>
      <color rgb="FF375623"/>
      <name val="Arial"/>
      <family val="2"/>
    </font>
    <font>
      <b/>
      <sz val="10"/>
      <color rgb="FF7F6000"/>
      <name val="Arial"/>
      <family val="2"/>
    </font>
    <font>
      <b/>
      <sz val="10"/>
      <color rgb="FF9C0006"/>
      <name val="Arial"/>
      <family val="2"/>
    </font>
    <font>
      <b/>
      <sz val="11"/>
      <color rgb="FF1F4E79"/>
      <name val="Arial"/>
      <family val="2"/>
    </font>
    <font>
      <b/>
      <sz val="13"/>
      <color rgb="FF000000"/>
      <name val="Arial"/>
      <family val="2"/>
    </font>
    <font>
      <b/>
      <sz val="9"/>
      <color rgb="FFFFFFFF"/>
      <name val="Arial"/>
      <family val="2"/>
    </font>
    <font>
      <i/>
      <sz val="9"/>
      <color rgb="FFFFFFFF"/>
      <name val="Arial"/>
      <family val="2"/>
    </font>
    <font>
      <sz val="9"/>
      <color rgb="FF595959"/>
      <name val="Arial"/>
      <family val="2"/>
    </font>
    <font>
      <b/>
      <sz val="13"/>
      <color rgb="FFFFFFFF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BF3FB"/>
        <bgColor rgb="FFE2EFDA"/>
      </patternFill>
    </fill>
    <fill>
      <patternFill patternType="solid">
        <fgColor rgb="FF2E75B6"/>
        <bgColor rgb="FF0066CC"/>
      </patternFill>
    </fill>
    <fill>
      <patternFill patternType="solid">
        <fgColor rgb="FFFFFFFF"/>
        <bgColor rgb="FFEBF3FB"/>
      </patternFill>
    </fill>
    <fill>
      <patternFill patternType="solid">
        <fgColor rgb="FFE2EFDA"/>
        <bgColor rgb="FFEBF3FB"/>
      </patternFill>
    </fill>
    <fill>
      <patternFill patternType="solid">
        <fgColor rgb="FFFFF2CC"/>
        <bgColor rgb="FFFFE0E0"/>
      </patternFill>
    </fill>
    <fill>
      <patternFill patternType="solid">
        <fgColor rgb="FFFFE0E0"/>
        <bgColor rgb="FFFFF2CC"/>
      </patternFill>
    </fill>
    <fill>
      <patternFill patternType="solid">
        <fgColor rgb="FFD9E1F2"/>
        <bgColor rgb="FFD9D9D9"/>
      </patternFill>
    </fill>
    <fill>
      <patternFill patternType="solid">
        <fgColor rgb="FF70AD47"/>
        <bgColor rgb="FF878787"/>
      </patternFill>
    </fill>
    <fill>
      <patternFill patternType="solid">
        <fgColor rgb="FFFFC000"/>
        <bgColor rgb="FFFFFF00"/>
      </patternFill>
    </fill>
    <fill>
      <patternFill patternType="solid">
        <fgColor rgb="FFFF0000"/>
        <bgColor rgb="FF9C0006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/>
    </xf>
    <xf numFmtId="9" fontId="5" fillId="3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9" fontId="5" fillId="5" borderId="1" xfId="0" applyNumberFormat="1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center"/>
    </xf>
    <xf numFmtId="9" fontId="7" fillId="2" borderId="1" xfId="0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8" fillId="6" borderId="1" xfId="0" applyFont="1" applyFill="1" applyBorder="1" applyAlignment="1">
      <alignment horizontal="center" vertical="center"/>
    </xf>
    <xf numFmtId="164" fontId="9" fillId="6" borderId="1" xfId="0" applyNumberFormat="1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left" vertical="center"/>
    </xf>
    <xf numFmtId="0" fontId="11" fillId="7" borderId="1" xfId="0" applyFont="1" applyFill="1" applyBorder="1" applyAlignment="1">
      <alignment horizontal="center" vertical="center"/>
    </xf>
    <xf numFmtId="164" fontId="12" fillId="7" borderId="1" xfId="0" applyNumberFormat="1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left" vertical="center"/>
    </xf>
    <xf numFmtId="0" fontId="14" fillId="8" borderId="1" xfId="0" applyFont="1" applyFill="1" applyBorder="1" applyAlignment="1">
      <alignment horizontal="center" vertical="center"/>
    </xf>
    <xf numFmtId="164" fontId="15" fillId="8" borderId="1" xfId="0" applyNumberFormat="1" applyFont="1" applyFill="1" applyBorder="1" applyAlignment="1">
      <alignment horizontal="center" vertical="center"/>
    </xf>
    <xf numFmtId="0" fontId="16" fillId="8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17" fillId="5" borderId="1" xfId="0" applyFont="1" applyFill="1" applyBorder="1" applyAlignment="1">
      <alignment horizontal="left" vertical="center"/>
    </xf>
    <xf numFmtId="0" fontId="18" fillId="5" borderId="1" xfId="0" applyFont="1" applyFill="1" applyBorder="1" applyAlignment="1">
      <alignment horizontal="left" vertical="center" wrapText="1"/>
    </xf>
    <xf numFmtId="3" fontId="19" fillId="5" borderId="1" xfId="0" applyNumberFormat="1" applyFont="1" applyFill="1" applyBorder="1" applyAlignment="1">
      <alignment horizontal="center" vertical="center"/>
    </xf>
    <xf numFmtId="165" fontId="19" fillId="5" borderId="1" xfId="0" applyNumberFormat="1" applyFont="1" applyFill="1" applyBorder="1" applyAlignment="1">
      <alignment horizontal="center" vertical="center"/>
    </xf>
    <xf numFmtId="3" fontId="20" fillId="5" borderId="1" xfId="0" applyNumberFormat="1" applyFont="1" applyFill="1" applyBorder="1" applyAlignment="1">
      <alignment horizontal="center" vertical="center"/>
    </xf>
    <xf numFmtId="3" fontId="21" fillId="5" borderId="1" xfId="0" applyNumberFormat="1" applyFont="1" applyFill="1" applyBorder="1" applyAlignment="1">
      <alignment horizontal="center" vertical="center"/>
    </xf>
    <xf numFmtId="3" fontId="13" fillId="5" borderId="1" xfId="0" applyNumberFormat="1" applyFont="1" applyFill="1" applyBorder="1" applyAlignment="1">
      <alignment horizontal="center" vertical="center"/>
    </xf>
    <xf numFmtId="0" fontId="22" fillId="6" borderId="1" xfId="0" applyFont="1" applyFill="1" applyBorder="1" applyAlignment="1">
      <alignment horizontal="center" vertical="center"/>
    </xf>
    <xf numFmtId="0" fontId="17" fillId="9" borderId="1" xfId="0" applyFont="1" applyFill="1" applyBorder="1" applyAlignment="1">
      <alignment horizontal="left" vertical="center"/>
    </xf>
    <xf numFmtId="0" fontId="18" fillId="9" borderId="1" xfId="0" applyFont="1" applyFill="1" applyBorder="1" applyAlignment="1">
      <alignment horizontal="left" vertical="center" wrapText="1"/>
    </xf>
    <xf numFmtId="3" fontId="19" fillId="9" borderId="1" xfId="0" applyNumberFormat="1" applyFont="1" applyFill="1" applyBorder="1" applyAlignment="1">
      <alignment horizontal="center" vertical="center"/>
    </xf>
    <xf numFmtId="165" fontId="19" fillId="9" borderId="1" xfId="0" applyNumberFormat="1" applyFont="1" applyFill="1" applyBorder="1" applyAlignment="1">
      <alignment horizontal="center" vertical="center"/>
    </xf>
    <xf numFmtId="3" fontId="20" fillId="9" borderId="1" xfId="0" applyNumberFormat="1" applyFont="1" applyFill="1" applyBorder="1" applyAlignment="1">
      <alignment horizontal="center" vertical="center"/>
    </xf>
    <xf numFmtId="3" fontId="18" fillId="9" borderId="1" xfId="0" applyNumberFormat="1" applyFont="1" applyFill="1" applyBorder="1" applyAlignment="1">
      <alignment horizontal="center" vertical="center"/>
    </xf>
    <xf numFmtId="3" fontId="13" fillId="9" borderId="1" xfId="0" applyNumberFormat="1" applyFont="1" applyFill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3" fontId="18" fillId="5" borderId="1" xfId="0" applyNumberFormat="1" applyFont="1" applyFill="1" applyBorder="1" applyAlignment="1">
      <alignment horizontal="center" vertical="center"/>
    </xf>
    <xf numFmtId="0" fontId="24" fillId="8" borderId="1" xfId="0" applyFont="1" applyFill="1" applyBorder="1" applyAlignment="1">
      <alignment horizontal="center" vertical="center"/>
    </xf>
    <xf numFmtId="164" fontId="5" fillId="5" borderId="1" xfId="0" applyNumberFormat="1" applyFont="1" applyFill="1" applyBorder="1" applyAlignment="1">
      <alignment horizontal="center" vertical="center"/>
    </xf>
    <xf numFmtId="2" fontId="25" fillId="5" borderId="1" xfId="0" applyNumberFormat="1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164" fontId="5" fillId="9" borderId="1" xfId="0" applyNumberFormat="1" applyFont="1" applyFill="1" applyBorder="1" applyAlignment="1">
      <alignment horizontal="center" vertical="center"/>
    </xf>
    <xf numFmtId="2" fontId="25" fillId="9" borderId="1" xfId="0" applyNumberFormat="1" applyFont="1" applyFill="1" applyBorder="1" applyAlignment="1">
      <alignment horizontal="center" vertical="center"/>
    </xf>
    <xf numFmtId="0" fontId="26" fillId="9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64" fontId="7" fillId="2" borderId="1" xfId="0" applyNumberFormat="1" applyFont="1" applyFill="1" applyBorder="1" applyAlignment="1">
      <alignment horizontal="center" vertical="center"/>
    </xf>
    <xf numFmtId="2" fontId="7" fillId="2" borderId="1" xfId="0" applyNumberFormat="1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horizontal="center" vertical="center"/>
    </xf>
    <xf numFmtId="0" fontId="28" fillId="2" borderId="1" xfId="0" applyFont="1" applyFill="1" applyBorder="1" applyAlignment="1">
      <alignment horizontal="left" vertical="center"/>
    </xf>
    <xf numFmtId="0" fontId="25" fillId="3" borderId="1" xfId="0" applyFont="1" applyFill="1" applyBorder="1" applyAlignment="1">
      <alignment horizontal="center" vertical="center"/>
    </xf>
    <xf numFmtId="0" fontId="29" fillId="3" borderId="1" xfId="0" applyFont="1" applyFill="1" applyBorder="1" applyAlignment="1">
      <alignment horizontal="left" vertical="center"/>
    </xf>
    <xf numFmtId="0" fontId="25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left" vertical="center"/>
    </xf>
    <xf numFmtId="2" fontId="25" fillId="3" borderId="1" xfId="0" applyNumberFormat="1" applyFont="1" applyFill="1" applyBorder="1" applyAlignment="1">
      <alignment horizontal="center" vertical="center"/>
    </xf>
    <xf numFmtId="164" fontId="25" fillId="5" borderId="1" xfId="0" applyNumberFormat="1" applyFont="1" applyFill="1" applyBorder="1" applyAlignment="1">
      <alignment horizontal="center" vertical="center"/>
    </xf>
    <xf numFmtId="164" fontId="25" fillId="3" borderId="1" xfId="0" applyNumberFormat="1" applyFont="1" applyFill="1" applyBorder="1" applyAlignment="1">
      <alignment horizontal="center" vertical="center"/>
    </xf>
    <xf numFmtId="0" fontId="30" fillId="10" borderId="1" xfId="0" applyFont="1" applyFill="1" applyBorder="1" applyAlignment="1">
      <alignment horizontal="center" vertical="center"/>
    </xf>
    <xf numFmtId="0" fontId="26" fillId="11" borderId="1" xfId="0" applyFont="1" applyFill="1" applyBorder="1" applyAlignment="1">
      <alignment horizontal="center" vertical="center"/>
    </xf>
    <xf numFmtId="0" fontId="30" fillId="1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3" fillId="12" borderId="2" xfId="0" applyFont="1" applyFill="1" applyBorder="1" applyAlignment="1">
      <alignment horizontal="left" vertical="center"/>
    </xf>
    <xf numFmtId="0" fontId="3" fillId="10" borderId="2" xfId="0" applyFont="1" applyFill="1" applyBorder="1" applyAlignment="1">
      <alignment horizontal="left" vertical="center"/>
    </xf>
    <xf numFmtId="0" fontId="17" fillId="11" borderId="2" xfId="0" applyFont="1" applyFill="1" applyBorder="1" applyAlignment="1">
      <alignment horizontal="left" vertical="center"/>
    </xf>
  </cellXfs>
  <cellStyles count="1">
    <cellStyle name="Normal" xfId="0" builtinId="0"/>
  </cellStyles>
  <dxfs count="9">
    <dxf>
      <font>
        <b/>
        <sz val="10"/>
        <color rgb="FF9C0006"/>
        <name val="Arial"/>
        <charset val="1"/>
      </font>
      <fill>
        <patternFill>
          <bgColor rgb="FFFFE0E0"/>
        </patternFill>
      </fill>
    </dxf>
    <dxf>
      <font>
        <b/>
        <sz val="10"/>
        <color rgb="FF7F6000"/>
        <name val="Arial"/>
        <charset val="1"/>
      </font>
      <fill>
        <patternFill>
          <bgColor rgb="FFFFF2CC"/>
        </patternFill>
      </fill>
    </dxf>
    <dxf>
      <font>
        <b/>
        <sz val="10"/>
        <color rgb="FF375623"/>
        <name val="Arial"/>
        <charset val="1"/>
      </font>
      <fill>
        <patternFill>
          <bgColor rgb="FFE2EFDA"/>
        </patternFill>
      </fill>
    </dxf>
    <dxf>
      <font>
        <b/>
        <sz val="13"/>
        <color rgb="FFFFFFFF"/>
        <name val="Arial"/>
        <charset val="1"/>
      </font>
      <fill>
        <patternFill>
          <bgColor rgb="FFFF0000"/>
        </patternFill>
      </fill>
    </dxf>
    <dxf>
      <font>
        <b/>
        <sz val="13"/>
        <color rgb="FF000000"/>
        <name val="Arial"/>
        <charset val="1"/>
      </font>
      <fill>
        <patternFill>
          <bgColor rgb="FFFFC000"/>
        </patternFill>
      </fill>
    </dxf>
    <dxf>
      <font>
        <b/>
        <sz val="13"/>
        <color rgb="FFFFFFFF"/>
        <name val="Arial"/>
        <charset val="1"/>
      </font>
      <fill>
        <patternFill>
          <bgColor rgb="FF70AD47"/>
        </patternFill>
      </fill>
    </dxf>
    <dxf>
      <font>
        <b/>
        <sz val="11"/>
        <color rgb="FF9C0006"/>
        <name val="Arial"/>
        <charset val="1"/>
      </font>
      <fill>
        <patternFill>
          <bgColor rgb="FFFFE0E0"/>
        </patternFill>
      </fill>
    </dxf>
    <dxf>
      <font>
        <b/>
        <sz val="11"/>
        <color rgb="FF7F6000"/>
        <name val="Arial"/>
        <charset val="1"/>
      </font>
      <fill>
        <patternFill>
          <bgColor rgb="FFFFF2CC"/>
        </patternFill>
      </fill>
    </dxf>
    <dxf>
      <font>
        <b/>
        <sz val="11"/>
        <color rgb="FF375623"/>
        <name val="Arial"/>
        <charset val="1"/>
      </font>
      <fill>
        <patternFill>
          <bgColor rgb="FFE2EFDA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7F6000"/>
      <rgbColor rgb="FF800080"/>
      <rgbColor rgb="FF008080"/>
      <rgbColor rgb="FFC0C0C0"/>
      <rgbColor rgb="FF878787"/>
      <rgbColor rgb="FF9999FF"/>
      <rgbColor rgb="FF993366"/>
      <rgbColor rgb="FFFFF2CC"/>
      <rgbColor rgb="FFEBF3FB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E2EFDA"/>
      <rgbColor rgb="FFFFFF99"/>
      <rgbColor rgb="FF99CCFF"/>
      <rgbColor rgb="FFFF99CC"/>
      <rgbColor rgb="FFCC99FF"/>
      <rgbColor rgb="FFFFE0E0"/>
      <rgbColor rgb="FF2E75B6"/>
      <rgbColor rgb="FF33CCCC"/>
      <rgbColor rgb="FF99CC00"/>
      <rgbColor rgb="FFFFC000"/>
      <rgbColor rgb="FFB8860B"/>
      <rgbColor rgb="FFFF6600"/>
      <rgbColor rgb="FF595959"/>
      <rgbColor rgb="FF70AD47"/>
      <rgbColor rgb="FF003366"/>
      <rgbColor rgb="FF339966"/>
      <rgbColor rgb="FF003300"/>
      <rgbColor rgb="FF333300"/>
      <rgbColor rgb="FF993300"/>
      <rgbColor rgb="FF993366"/>
      <rgbColor rgb="FF1F4E7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Supplier Weighted Score (out of 10)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'Supplier Scorecard'!$G$3</c:f>
              <c:strCache>
                <c:ptCount val="1"/>
                <c:pt idx="0">
                  <c:v>Weighted
Score
(/10)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1F4E7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'Supplier Scorecard'!$A$4:$A$8</c:f>
              <c:strCache>
                <c:ptCount val="5"/>
                <c:pt idx="0">
                  <c:v>Berlin Supply</c:v>
                </c:pt>
                <c:pt idx="1">
                  <c:v>Munich Supply</c:v>
                </c:pt>
                <c:pt idx="2">
                  <c:v>Hamburg Supply</c:v>
                </c:pt>
                <c:pt idx="3">
                  <c:v>Frankfurt Supply</c:v>
                </c:pt>
                <c:pt idx="4">
                  <c:v>Cologne Supply</c:v>
                </c:pt>
              </c:strCache>
            </c:strRef>
          </c:cat>
          <c:val>
            <c:numRef>
              <c:f>'Supplier Scorecard'!$G$4:$G$8</c:f>
              <c:numCache>
                <c:formatCode>0.00</c:formatCode>
                <c:ptCount val="5"/>
                <c:pt idx="0">
                  <c:v>6.6</c:v>
                </c:pt>
                <c:pt idx="1">
                  <c:v>6.89</c:v>
                </c:pt>
                <c:pt idx="2">
                  <c:v>8.81</c:v>
                </c:pt>
                <c:pt idx="3">
                  <c:v>5.91</c:v>
                </c:pt>
                <c:pt idx="4">
                  <c:v>3.24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A2-4CCC-A4DE-AFF608FE65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1794467"/>
        <c:axId val="15390275"/>
      </c:barChart>
      <c:catAx>
        <c:axId val="5179446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Supplier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5390275"/>
        <c:crosses val="autoZero"/>
        <c:auto val="1"/>
        <c:lblAlgn val="ctr"/>
        <c:lblOffset val="100"/>
        <c:noMultiLvlLbl val="0"/>
      </c:catAx>
      <c:valAx>
        <c:axId val="15390275"/>
        <c:scaling>
          <c:orientation val="minMax"/>
          <c:max val="10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Score (/10)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179446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</xdr:row>
      <xdr:rowOff>0</xdr:rowOff>
    </xdr:from>
    <xdr:to>
      <xdr:col>7</xdr:col>
      <xdr:colOff>800640</xdr:colOff>
      <xdr:row>35</xdr:row>
      <xdr:rowOff>107640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D16"/>
  <sheetViews>
    <sheetView zoomScaleNormal="100" workbookViewId="0">
      <selection sqref="A1:D1"/>
    </sheetView>
  </sheetViews>
  <sheetFormatPr defaultColWidth="8.6640625" defaultRowHeight="14.4" x14ac:dyDescent="0.3"/>
  <cols>
    <col min="1" max="1" width="32" customWidth="1"/>
    <col min="2" max="2" width="16" customWidth="1"/>
    <col min="3" max="3" width="24" customWidth="1"/>
    <col min="4" max="4" width="28" customWidth="1"/>
  </cols>
  <sheetData>
    <row r="1" spans="1:4" ht="31.5" customHeight="1" x14ac:dyDescent="0.3">
      <c r="A1" s="64" t="s">
        <v>0</v>
      </c>
      <c r="B1" s="64"/>
      <c r="C1" s="64"/>
      <c r="D1" s="64"/>
    </row>
    <row r="2" spans="1:4" ht="18" customHeight="1" x14ac:dyDescent="0.3">
      <c r="A2" s="65" t="s">
        <v>1</v>
      </c>
      <c r="B2" s="65"/>
      <c r="C2" s="65"/>
      <c r="D2" s="65"/>
    </row>
    <row r="4" spans="1:4" ht="21.75" customHeight="1" x14ac:dyDescent="0.3">
      <c r="A4" s="1" t="s">
        <v>2</v>
      </c>
      <c r="B4" s="1" t="s">
        <v>3</v>
      </c>
      <c r="C4" s="1" t="s">
        <v>4</v>
      </c>
      <c r="D4" s="1" t="s">
        <v>5</v>
      </c>
    </row>
    <row r="5" spans="1:4" ht="19.5" customHeight="1" x14ac:dyDescent="0.3">
      <c r="A5" s="2" t="s">
        <v>6</v>
      </c>
      <c r="B5" s="3">
        <v>0.3</v>
      </c>
      <c r="C5" s="4" t="s">
        <v>7</v>
      </c>
      <c r="D5" s="5" t="s">
        <v>8</v>
      </c>
    </row>
    <row r="6" spans="1:4" ht="19.5" customHeight="1" x14ac:dyDescent="0.3">
      <c r="A6" s="6" t="s">
        <v>9</v>
      </c>
      <c r="B6" s="7">
        <v>0.25</v>
      </c>
      <c r="C6" s="8" t="s">
        <v>7</v>
      </c>
      <c r="D6" s="9" t="s">
        <v>10</v>
      </c>
    </row>
    <row r="7" spans="1:4" ht="19.5" customHeight="1" x14ac:dyDescent="0.3">
      <c r="A7" s="2" t="s">
        <v>11</v>
      </c>
      <c r="B7" s="3">
        <v>0.2</v>
      </c>
      <c r="C7" s="4" t="s">
        <v>7</v>
      </c>
      <c r="D7" s="5" t="s">
        <v>12</v>
      </c>
    </row>
    <row r="8" spans="1:4" ht="19.5" customHeight="1" x14ac:dyDescent="0.3">
      <c r="A8" s="6" t="s">
        <v>13</v>
      </c>
      <c r="B8" s="7">
        <v>0.15</v>
      </c>
      <c r="C8" s="8" t="s">
        <v>7</v>
      </c>
      <c r="D8" s="9" t="s">
        <v>14</v>
      </c>
    </row>
    <row r="9" spans="1:4" ht="19.5" customHeight="1" x14ac:dyDescent="0.3">
      <c r="A9" s="2" t="s">
        <v>15</v>
      </c>
      <c r="B9" s="3">
        <v>0.1</v>
      </c>
      <c r="C9" s="4" t="s">
        <v>7</v>
      </c>
      <c r="D9" s="5" t="s">
        <v>16</v>
      </c>
    </row>
    <row r="10" spans="1:4" ht="21.75" customHeight="1" x14ac:dyDescent="0.3">
      <c r="A10" s="10" t="s">
        <v>17</v>
      </c>
      <c r="B10" s="11">
        <f>SUM(B5:B9)</f>
        <v>1</v>
      </c>
      <c r="C10" s="12"/>
      <c r="D10" s="12"/>
    </row>
    <row r="12" spans="1:4" ht="21.75" customHeight="1" x14ac:dyDescent="0.3">
      <c r="A12" s="66" t="s">
        <v>18</v>
      </c>
      <c r="B12" s="66"/>
      <c r="C12" s="66"/>
      <c r="D12" s="66"/>
    </row>
    <row r="13" spans="1:4" x14ac:dyDescent="0.3">
      <c r="A13" s="1" t="s">
        <v>19</v>
      </c>
      <c r="B13" s="1" t="s">
        <v>20</v>
      </c>
      <c r="C13" s="1" t="s">
        <v>21</v>
      </c>
      <c r="D13" s="1" t="s">
        <v>22</v>
      </c>
    </row>
    <row r="14" spans="1:4" ht="21.75" customHeight="1" x14ac:dyDescent="0.3">
      <c r="A14" s="13" t="s">
        <v>23</v>
      </c>
      <c r="B14" s="14">
        <v>7.5</v>
      </c>
      <c r="C14" s="14">
        <v>10</v>
      </c>
      <c r="D14" s="15" t="s">
        <v>24</v>
      </c>
    </row>
    <row r="15" spans="1:4" ht="21.75" customHeight="1" x14ac:dyDescent="0.3">
      <c r="A15" s="16" t="s">
        <v>25</v>
      </c>
      <c r="B15" s="17">
        <v>5</v>
      </c>
      <c r="C15" s="17">
        <v>7.49</v>
      </c>
      <c r="D15" s="18" t="s">
        <v>26</v>
      </c>
    </row>
    <row r="16" spans="1:4" ht="21.75" customHeight="1" x14ac:dyDescent="0.3">
      <c r="A16" s="19" t="s">
        <v>27</v>
      </c>
      <c r="B16" s="20">
        <v>0</v>
      </c>
      <c r="C16" s="20">
        <v>4.99</v>
      </c>
      <c r="D16" s="21" t="s">
        <v>28</v>
      </c>
    </row>
  </sheetData>
  <mergeCells count="3">
    <mergeCell ref="A1:D1"/>
    <mergeCell ref="A2:D2"/>
    <mergeCell ref="A12:D1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5B6"/>
  </sheetPr>
  <dimension ref="A1:I8"/>
  <sheetViews>
    <sheetView zoomScaleNormal="100" workbookViewId="0">
      <pane ySplit="3" topLeftCell="A4" activePane="bottomLeft" state="frozen"/>
      <selection pane="bottomLeft" sqref="A1:I1"/>
    </sheetView>
  </sheetViews>
  <sheetFormatPr defaultColWidth="8.6640625" defaultRowHeight="14.4" x14ac:dyDescent="0.3"/>
  <cols>
    <col min="1" max="1" width="20" customWidth="1"/>
    <col min="2" max="2" width="36" customWidth="1"/>
    <col min="3" max="3" width="16" customWidth="1"/>
    <col min="4" max="4" width="22" customWidth="1"/>
    <col min="5" max="5" width="14" customWidth="1"/>
    <col min="6" max="9" width="16" customWidth="1"/>
  </cols>
  <sheetData>
    <row r="1" spans="1:9" ht="31.5" customHeight="1" x14ac:dyDescent="0.3">
      <c r="A1" s="64" t="s">
        <v>29</v>
      </c>
      <c r="B1" s="64"/>
      <c r="C1" s="64"/>
      <c r="D1" s="64"/>
      <c r="E1" s="64"/>
      <c r="F1" s="64"/>
      <c r="G1" s="64"/>
      <c r="H1" s="64"/>
      <c r="I1" s="64"/>
    </row>
    <row r="2" spans="1:9" ht="18" customHeight="1" x14ac:dyDescent="0.3">
      <c r="A2" s="65" t="s">
        <v>30</v>
      </c>
      <c r="B2" s="65"/>
      <c r="C2" s="65"/>
      <c r="D2" s="65"/>
      <c r="E2" s="65"/>
      <c r="F2" s="65"/>
      <c r="G2" s="65"/>
      <c r="H2" s="65"/>
      <c r="I2" s="65"/>
    </row>
    <row r="3" spans="1:9" ht="39.75" customHeight="1" x14ac:dyDescent="0.3">
      <c r="A3" s="22" t="s">
        <v>31</v>
      </c>
      <c r="B3" s="22" t="s">
        <v>32</v>
      </c>
      <c r="C3" s="22" t="s">
        <v>33</v>
      </c>
      <c r="D3" s="22" t="s">
        <v>34</v>
      </c>
      <c r="E3" s="22" t="s">
        <v>35</v>
      </c>
      <c r="F3" s="22" t="s">
        <v>36</v>
      </c>
      <c r="G3" s="22" t="s">
        <v>37</v>
      </c>
      <c r="H3" s="22" t="s">
        <v>38</v>
      </c>
      <c r="I3" s="22" t="s">
        <v>39</v>
      </c>
    </row>
    <row r="4" spans="1:9" ht="27.75" customHeight="1" x14ac:dyDescent="0.3">
      <c r="A4" s="23" t="s">
        <v>40</v>
      </c>
      <c r="B4" s="24" t="s">
        <v>41</v>
      </c>
      <c r="C4" s="25">
        <v>69</v>
      </c>
      <c r="D4" s="26">
        <v>293.33</v>
      </c>
      <c r="E4" s="25">
        <v>4</v>
      </c>
      <c r="F4" s="27">
        <v>2</v>
      </c>
      <c r="G4" s="28">
        <v>1</v>
      </c>
      <c r="H4" s="29">
        <v>1</v>
      </c>
      <c r="I4" s="30" t="s">
        <v>42</v>
      </c>
    </row>
    <row r="5" spans="1:9" ht="27.75" customHeight="1" x14ac:dyDescent="0.3">
      <c r="A5" s="31" t="s">
        <v>43</v>
      </c>
      <c r="B5" s="32" t="s">
        <v>44</v>
      </c>
      <c r="C5" s="33">
        <v>352</v>
      </c>
      <c r="D5" s="34">
        <v>496.67</v>
      </c>
      <c r="E5" s="33">
        <v>3</v>
      </c>
      <c r="F5" s="35">
        <v>2</v>
      </c>
      <c r="G5" s="36">
        <v>0</v>
      </c>
      <c r="H5" s="37">
        <v>1</v>
      </c>
      <c r="I5" s="38" t="s">
        <v>45</v>
      </c>
    </row>
    <row r="6" spans="1:9" ht="27.75" customHeight="1" x14ac:dyDescent="0.3">
      <c r="A6" s="23" t="s">
        <v>46</v>
      </c>
      <c r="B6" s="24" t="s">
        <v>47</v>
      </c>
      <c r="C6" s="25">
        <v>310</v>
      </c>
      <c r="D6" s="26">
        <v>225</v>
      </c>
      <c r="E6" s="25">
        <v>3</v>
      </c>
      <c r="F6" s="27">
        <v>2</v>
      </c>
      <c r="G6" s="39">
        <v>0</v>
      </c>
      <c r="H6" s="29">
        <v>1</v>
      </c>
      <c r="I6" s="30" t="s">
        <v>42</v>
      </c>
    </row>
    <row r="7" spans="1:9" ht="27.75" customHeight="1" x14ac:dyDescent="0.3">
      <c r="A7" s="31" t="s">
        <v>48</v>
      </c>
      <c r="B7" s="32" t="s">
        <v>49</v>
      </c>
      <c r="C7" s="33">
        <v>72</v>
      </c>
      <c r="D7" s="34">
        <v>260</v>
      </c>
      <c r="E7" s="33">
        <v>3</v>
      </c>
      <c r="F7" s="35">
        <v>1</v>
      </c>
      <c r="G7" s="36">
        <v>0</v>
      </c>
      <c r="H7" s="37">
        <v>2</v>
      </c>
      <c r="I7" s="38" t="s">
        <v>45</v>
      </c>
    </row>
    <row r="8" spans="1:9" ht="27.75" customHeight="1" x14ac:dyDescent="0.3">
      <c r="A8" s="23" t="s">
        <v>50</v>
      </c>
      <c r="B8" s="24" t="s">
        <v>51</v>
      </c>
      <c r="C8" s="25">
        <v>8</v>
      </c>
      <c r="D8" s="26">
        <v>580</v>
      </c>
      <c r="E8" s="25">
        <v>2</v>
      </c>
      <c r="F8" s="27">
        <v>1</v>
      </c>
      <c r="G8" s="28">
        <v>1</v>
      </c>
      <c r="H8" s="29">
        <v>0</v>
      </c>
      <c r="I8" s="40" t="s">
        <v>52</v>
      </c>
    </row>
  </sheetData>
  <mergeCells count="2">
    <mergeCell ref="A1:I1"/>
    <mergeCell ref="A2:I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F4E79"/>
  </sheetPr>
  <dimension ref="A1:I9"/>
  <sheetViews>
    <sheetView tabSelected="1" zoomScaleNormal="100" workbookViewId="0">
      <pane xSplit="1" ySplit="3" topLeftCell="B22" activePane="bottomRight" state="frozen"/>
      <selection pane="topRight" activeCell="B1" sqref="B1"/>
      <selection pane="bottomLeft" activeCell="A4" sqref="A4"/>
      <selection pane="bottomRight" activeCell="I33" sqref="I33"/>
    </sheetView>
  </sheetViews>
  <sheetFormatPr defaultColWidth="8.6640625" defaultRowHeight="14.4" x14ac:dyDescent="0.3"/>
  <cols>
    <col min="1" max="1" width="20" customWidth="1"/>
    <col min="2" max="6" width="13" customWidth="1"/>
    <col min="7" max="7" width="16" customWidth="1"/>
    <col min="8" max="9" width="14" customWidth="1"/>
  </cols>
  <sheetData>
    <row r="1" spans="1:9" ht="34.5" customHeight="1" x14ac:dyDescent="0.3">
      <c r="A1" s="64" t="s">
        <v>53</v>
      </c>
      <c r="B1" s="64"/>
      <c r="C1" s="64"/>
      <c r="D1" s="64"/>
      <c r="E1" s="64"/>
      <c r="F1" s="64"/>
      <c r="G1" s="64"/>
      <c r="H1" s="64"/>
      <c r="I1" s="64"/>
    </row>
    <row r="2" spans="1:9" ht="18" customHeight="1" x14ac:dyDescent="0.3">
      <c r="A2" s="65" t="s">
        <v>54</v>
      </c>
      <c r="B2" s="65"/>
      <c r="C2" s="65"/>
      <c r="D2" s="65"/>
      <c r="E2" s="65"/>
      <c r="F2" s="65"/>
      <c r="G2" s="65"/>
      <c r="H2" s="65"/>
      <c r="I2" s="65"/>
    </row>
    <row r="3" spans="1:9" ht="49.5" customHeight="1" x14ac:dyDescent="0.3">
      <c r="A3" s="22" t="s">
        <v>31</v>
      </c>
      <c r="B3" s="22" t="s">
        <v>55</v>
      </c>
      <c r="C3" s="22" t="s">
        <v>56</v>
      </c>
      <c r="D3" s="22" t="s">
        <v>57</v>
      </c>
      <c r="E3" s="22" t="s">
        <v>58</v>
      </c>
      <c r="F3" s="22" t="s">
        <v>59</v>
      </c>
      <c r="G3" s="22" t="s">
        <v>60</v>
      </c>
      <c r="H3" s="22" t="s">
        <v>61</v>
      </c>
      <c r="I3" s="22" t="s">
        <v>62</v>
      </c>
    </row>
    <row r="4" spans="1:9" ht="24" customHeight="1" x14ac:dyDescent="0.3">
      <c r="A4" s="23" t="s">
        <v>40</v>
      </c>
      <c r="B4" s="41">
        <v>5</v>
      </c>
      <c r="C4" s="41">
        <v>8.5</v>
      </c>
      <c r="D4" s="41">
        <v>3.6</v>
      </c>
      <c r="E4" s="41">
        <v>10</v>
      </c>
      <c r="F4" s="41">
        <v>7.5</v>
      </c>
      <c r="G4" s="42">
        <f>ROUND(B4*'Scoring Weights'!$B$5 + C4*'Scoring Weights'!$B$6 + D4*'Scoring Weights'!$B$7 + E4*'Scoring Weights'!$B$8 + F4*'Scoring Weights'!$B$9, 2)</f>
        <v>6.6</v>
      </c>
      <c r="H4" s="43" t="str">
        <f>IF(G4&gt;='Scoring Weights'!$B$14,"A",IF(G4&gt;='Scoring Weights'!$B$15,"B","C"))</f>
        <v>B</v>
      </c>
      <c r="I4" s="44" t="str">
        <f>IF(H4="A","✅ Excellent Supplier",IF(H4="B","⚠️ Acceptable Supplier","❌ Poor – Review Required"))</f>
        <v>⚠️ Acceptable Supplier</v>
      </c>
    </row>
    <row r="5" spans="1:9" ht="24" customHeight="1" x14ac:dyDescent="0.3">
      <c r="A5" s="31" t="s">
        <v>43</v>
      </c>
      <c r="B5" s="45">
        <v>6.7</v>
      </c>
      <c r="C5" s="45">
        <v>3.9</v>
      </c>
      <c r="D5" s="45">
        <v>10</v>
      </c>
      <c r="E5" s="45">
        <v>6</v>
      </c>
      <c r="F5" s="45">
        <v>10</v>
      </c>
      <c r="G5" s="46">
        <f>ROUND(B5*'Scoring Weights'!$B$5 + C5*'Scoring Weights'!$B$6 + D5*'Scoring Weights'!$B$7 + E5*'Scoring Weights'!$B$8 + F5*'Scoring Weights'!$B$9, 2)</f>
        <v>6.89</v>
      </c>
      <c r="H5" s="47" t="str">
        <f>IF(G5&gt;='Scoring Weights'!$B$14,"A",IF(G5&gt;='Scoring Weights'!$B$15,"B","C"))</f>
        <v>B</v>
      </c>
      <c r="I5" s="48" t="str">
        <f>IF(H5="A","✅ Excellent Supplier",IF(H5="B","⚠️ Acceptable Supplier","❌ Poor – Review Required"))</f>
        <v>⚠️ Acceptable Supplier</v>
      </c>
    </row>
    <row r="6" spans="1:9" ht="24" customHeight="1" x14ac:dyDescent="0.3">
      <c r="A6" s="23" t="s">
        <v>46</v>
      </c>
      <c r="B6" s="41">
        <v>6.7</v>
      </c>
      <c r="C6" s="41">
        <v>10</v>
      </c>
      <c r="D6" s="41">
        <v>9</v>
      </c>
      <c r="E6" s="41">
        <v>10</v>
      </c>
      <c r="F6" s="41">
        <v>10</v>
      </c>
      <c r="G6" s="42">
        <f>ROUND(B6*'Scoring Weights'!$B$5 + C6*'Scoring Weights'!$B$6 + D6*'Scoring Weights'!$B$7 + E6*'Scoring Weights'!$B$8 + F6*'Scoring Weights'!$B$9, 2)</f>
        <v>8.81</v>
      </c>
      <c r="H6" s="43" t="str">
        <f>IF(G6&gt;='Scoring Weights'!$B$14,"A",IF(G6&gt;='Scoring Weights'!$B$15,"B","C"))</f>
        <v>A</v>
      </c>
      <c r="I6" s="44" t="str">
        <f>IF(H6="A","✅ Excellent Supplier",IF(H6="B","⚠️ Acceptable Supplier","❌ Poor – Review Required"))</f>
        <v>✅ Excellent Supplier</v>
      </c>
    </row>
    <row r="7" spans="1:9" ht="24" customHeight="1" x14ac:dyDescent="0.3">
      <c r="A7" s="31" t="s">
        <v>48</v>
      </c>
      <c r="B7" s="45">
        <v>3.3</v>
      </c>
      <c r="C7" s="45">
        <v>9.1999999999999993</v>
      </c>
      <c r="D7" s="45">
        <v>3.6</v>
      </c>
      <c r="E7" s="45">
        <v>6</v>
      </c>
      <c r="F7" s="45">
        <v>10</v>
      </c>
      <c r="G7" s="46">
        <f>ROUND(B7*'Scoring Weights'!$B$5 + C7*'Scoring Weights'!$B$6 + D7*'Scoring Weights'!$B$7 + E7*'Scoring Weights'!$B$8 + F7*'Scoring Weights'!$B$9, 2)</f>
        <v>5.91</v>
      </c>
      <c r="H7" s="47" t="str">
        <f>IF(G7&gt;='Scoring Weights'!$B$14,"A",IF(G7&gt;='Scoring Weights'!$B$15,"B","C"))</f>
        <v>B</v>
      </c>
      <c r="I7" s="48" t="str">
        <f>IF(H7="A","✅ Excellent Supplier",IF(H7="B","⚠️ Acceptable Supplier","❌ Poor – Review Required"))</f>
        <v>⚠️ Acceptable Supplier</v>
      </c>
    </row>
    <row r="8" spans="1:9" ht="24" customHeight="1" x14ac:dyDescent="0.3">
      <c r="A8" s="23" t="s">
        <v>50</v>
      </c>
      <c r="B8" s="41">
        <v>5</v>
      </c>
      <c r="C8" s="41">
        <v>2</v>
      </c>
      <c r="D8" s="41">
        <v>2.2000000000000002</v>
      </c>
      <c r="E8" s="41">
        <v>2</v>
      </c>
      <c r="F8" s="41">
        <v>5</v>
      </c>
      <c r="G8" s="42">
        <f>ROUND(B8*'Scoring Weights'!$B$5 + C8*'Scoring Weights'!$B$6 + D8*'Scoring Weights'!$B$7 + E8*'Scoring Weights'!$B$8 + F8*'Scoring Weights'!$B$9, 2)</f>
        <v>3.24</v>
      </c>
      <c r="H8" s="43" t="str">
        <f>IF(G8&gt;='Scoring Weights'!$B$14,"A",IF(G8&gt;='Scoring Weights'!$B$15,"B","C"))</f>
        <v>C</v>
      </c>
      <c r="I8" s="44" t="str">
        <f>IF(H8="A","✅ Excellent Supplier",IF(H8="B","⚠️ Acceptable Supplier","❌ Poor – Review Required"))</f>
        <v>❌ Poor – Review Required</v>
      </c>
    </row>
    <row r="9" spans="1:9" ht="21.75" customHeight="1" x14ac:dyDescent="0.3">
      <c r="A9" s="49" t="s">
        <v>63</v>
      </c>
      <c r="B9" s="50">
        <f>ROUND(AVERAGE(B4:B8),1)</f>
        <v>5.3</v>
      </c>
      <c r="C9" s="50">
        <f>ROUND(AVERAGE(C4:C8),1)</f>
        <v>6.7</v>
      </c>
      <c r="D9" s="50">
        <f>ROUND(AVERAGE(D4:D8),1)</f>
        <v>5.7</v>
      </c>
      <c r="E9" s="50">
        <f>ROUND(AVERAGE(E4:E8),1)</f>
        <v>6.8</v>
      </c>
      <c r="F9" s="50">
        <f>ROUND(AVERAGE(F4:F8),1)</f>
        <v>8.5</v>
      </c>
      <c r="G9" s="51">
        <f>ROUND(AVERAGE(G4:G8),2)</f>
        <v>6.29</v>
      </c>
      <c r="H9" s="52" t="str">
        <f>INDEX(A4:A8,MATCH(MAX(G4:G8),G4:G8,0))</f>
        <v>Hamburg Supply</v>
      </c>
      <c r="I9" s="53" t="s">
        <v>64</v>
      </c>
    </row>
  </sheetData>
  <mergeCells count="2">
    <mergeCell ref="A1:I1"/>
    <mergeCell ref="A2:I2"/>
  </mergeCells>
  <conditionalFormatting sqref="G4:G8">
    <cfRule type="expression" dxfId="8" priority="8">
      <formula>G4&gt;=7.5</formula>
    </cfRule>
    <cfRule type="expression" dxfId="7" priority="9">
      <formula>AND(G4&gt;=5,G4&lt;7.5)</formula>
    </cfRule>
    <cfRule type="expression" dxfId="6" priority="10">
      <formula>G4&lt;5</formula>
    </cfRule>
  </conditionalFormatting>
  <conditionalFormatting sqref="H4:H8">
    <cfRule type="expression" dxfId="5" priority="2">
      <formula>H4="A"</formula>
    </cfRule>
    <cfRule type="expression" dxfId="4" priority="3">
      <formula>H4="B"</formula>
    </cfRule>
    <cfRule type="expression" dxfId="3" priority="4">
      <formula>H4="C"</formula>
    </cfRule>
  </conditionalFormatting>
  <conditionalFormatting sqref="I4:I8">
    <cfRule type="expression" dxfId="2" priority="5">
      <formula>H4="A"</formula>
    </cfRule>
    <cfRule type="expression" dxfId="1" priority="6">
      <formula>H4="B"</formula>
    </cfRule>
    <cfRule type="expression" dxfId="0" priority="7">
      <formula>H4="C"</formula>
    </cfRule>
  </conditionalFormatting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0AD47"/>
  </sheetPr>
  <dimension ref="A1:D20"/>
  <sheetViews>
    <sheetView zoomScaleNormal="100" workbookViewId="0">
      <selection activeCell="C11" sqref="C11"/>
    </sheetView>
  </sheetViews>
  <sheetFormatPr defaultColWidth="8.6640625" defaultRowHeight="14.4" x14ac:dyDescent="0.3"/>
  <cols>
    <col min="1" max="1" width="30" customWidth="1"/>
    <col min="2" max="2" width="22" customWidth="1"/>
    <col min="3" max="4" width="24" customWidth="1"/>
  </cols>
  <sheetData>
    <row r="1" spans="1:4" ht="34.5" customHeight="1" x14ac:dyDescent="0.3">
      <c r="A1" s="64" t="s">
        <v>65</v>
      </c>
      <c r="B1" s="64"/>
      <c r="C1" s="64"/>
      <c r="D1" s="64"/>
    </row>
    <row r="2" spans="1:4" ht="18" customHeight="1" x14ac:dyDescent="0.3">
      <c r="A2" s="65" t="s">
        <v>66</v>
      </c>
      <c r="B2" s="65"/>
      <c r="C2" s="65"/>
      <c r="D2" s="65"/>
    </row>
    <row r="3" spans="1:4" ht="21.75" customHeight="1" x14ac:dyDescent="0.3">
      <c r="A3" s="1" t="s">
        <v>67</v>
      </c>
      <c r="B3" s="1" t="s">
        <v>68</v>
      </c>
      <c r="C3" s="1" t="s">
        <v>69</v>
      </c>
      <c r="D3" s="1" t="s">
        <v>70</v>
      </c>
    </row>
    <row r="4" spans="1:4" ht="21.75" customHeight="1" x14ac:dyDescent="0.3">
      <c r="A4" s="2" t="s">
        <v>71</v>
      </c>
      <c r="B4" s="54">
        <f>COUNTA('Supplier Scorecard'!A4:A8)</f>
        <v>5</v>
      </c>
      <c r="C4" s="55" t="s">
        <v>72</v>
      </c>
      <c r="D4" s="55" t="s">
        <v>73</v>
      </c>
    </row>
    <row r="5" spans="1:4" ht="21.75" customHeight="1" x14ac:dyDescent="0.3">
      <c r="A5" s="6" t="s">
        <v>74</v>
      </c>
      <c r="B5" s="56">
        <f>COUNTIF('Supplier Scorecard'!H4:H8,"A")</f>
        <v>1</v>
      </c>
      <c r="C5" s="57" t="s">
        <v>75</v>
      </c>
      <c r="D5" s="57" t="s">
        <v>76</v>
      </c>
    </row>
    <row r="6" spans="1:4" ht="21.75" customHeight="1" x14ac:dyDescent="0.3">
      <c r="A6" s="2" t="s">
        <v>77</v>
      </c>
      <c r="B6" s="54">
        <f>COUNTIF('Supplier Scorecard'!H4:H8,"B")</f>
        <v>3</v>
      </c>
      <c r="C6" s="55" t="s">
        <v>78</v>
      </c>
      <c r="D6" s="55" t="s">
        <v>79</v>
      </c>
    </row>
    <row r="7" spans="1:4" ht="21.75" customHeight="1" x14ac:dyDescent="0.3">
      <c r="A7" s="6" t="s">
        <v>80</v>
      </c>
      <c r="B7" s="56">
        <f>COUNTIF('Supplier Scorecard'!H4:H8,"C")</f>
        <v>1</v>
      </c>
      <c r="C7" s="57" t="s">
        <v>81</v>
      </c>
      <c r="D7" s="57" t="s">
        <v>82</v>
      </c>
    </row>
    <row r="8" spans="1:4" ht="21.75" customHeight="1" x14ac:dyDescent="0.3">
      <c r="A8" s="2" t="s">
        <v>83</v>
      </c>
      <c r="B8" s="58">
        <f>ROUND(AVERAGE('Supplier Scorecard'!G4:G8),2)</f>
        <v>6.29</v>
      </c>
      <c r="C8" s="55" t="s">
        <v>84</v>
      </c>
      <c r="D8" s="55" t="s">
        <v>85</v>
      </c>
    </row>
    <row r="9" spans="1:4" ht="21.75" customHeight="1" x14ac:dyDescent="0.3">
      <c r="A9" s="6" t="s">
        <v>86</v>
      </c>
      <c r="B9" s="42">
        <f>MAX('Supplier Scorecard'!G4:G8)</f>
        <v>8.81</v>
      </c>
      <c r="C9" s="57" t="s">
        <v>87</v>
      </c>
      <c r="D9" s="57" t="s">
        <v>88</v>
      </c>
    </row>
    <row r="10" spans="1:4" ht="21.75" customHeight="1" x14ac:dyDescent="0.3">
      <c r="A10" s="2" t="s">
        <v>89</v>
      </c>
      <c r="B10" s="58">
        <f>MIN('Supplier Scorecard'!G4:G8)</f>
        <v>3.24</v>
      </c>
      <c r="C10" s="55" t="s">
        <v>90</v>
      </c>
      <c r="D10" s="55" t="s">
        <v>91</v>
      </c>
    </row>
    <row r="11" spans="1:4" ht="21.75" customHeight="1" x14ac:dyDescent="0.3">
      <c r="A11" s="6" t="s">
        <v>92</v>
      </c>
      <c r="B11" s="56" t="str">
        <f>INDEX('Supplier Scorecard'!A4:A8,MATCH(MAX('Supplier Scorecard'!G4:G8),'Supplier Scorecard'!G4:G8,0))</f>
        <v>Hamburg Supply</v>
      </c>
      <c r="C11" s="9" t="s">
        <v>107</v>
      </c>
      <c r="D11" s="57" t="s">
        <v>93</v>
      </c>
    </row>
    <row r="12" spans="1:4" ht="21.75" customHeight="1" x14ac:dyDescent="0.3">
      <c r="A12" s="2" t="s">
        <v>94</v>
      </c>
      <c r="B12" s="54" t="str">
        <f>INDEX('Supplier Scorecard'!A4:A8,MATCH(MIN('Supplier Scorecard'!G4:G8),'Supplier Scorecard'!G4:G8,0))</f>
        <v>Cologne Supply</v>
      </c>
      <c r="C12" s="5" t="s">
        <v>95</v>
      </c>
      <c r="D12" s="55" t="s">
        <v>96</v>
      </c>
    </row>
    <row r="13" spans="1:4" ht="21.75" customHeight="1" x14ac:dyDescent="0.3">
      <c r="A13" s="6" t="s">
        <v>97</v>
      </c>
      <c r="B13" s="59">
        <f>MAX('Supplier Scorecard'!B4:B8)</f>
        <v>6.7</v>
      </c>
      <c r="C13" s="9" t="s">
        <v>98</v>
      </c>
      <c r="D13" s="57" t="s">
        <v>99</v>
      </c>
    </row>
    <row r="14" spans="1:4" ht="21.75" customHeight="1" x14ac:dyDescent="0.3">
      <c r="A14" s="2" t="s">
        <v>100</v>
      </c>
      <c r="B14" s="60">
        <f>MAX('Supplier Scorecard'!C4:C8)</f>
        <v>10</v>
      </c>
      <c r="C14" s="5" t="s">
        <v>101</v>
      </c>
      <c r="D14" s="55" t="s">
        <v>102</v>
      </c>
    </row>
    <row r="17" spans="1:4" ht="21.75" customHeight="1" x14ac:dyDescent="0.3">
      <c r="A17" s="66" t="s">
        <v>103</v>
      </c>
      <c r="B17" s="66"/>
      <c r="C17" s="66"/>
      <c r="D17" s="66"/>
    </row>
    <row r="18" spans="1:4" ht="21.75" customHeight="1" x14ac:dyDescent="0.3">
      <c r="A18" s="61" t="s">
        <v>23</v>
      </c>
      <c r="B18" s="68" t="s">
        <v>104</v>
      </c>
      <c r="C18" s="68"/>
      <c r="D18" s="68"/>
    </row>
    <row r="19" spans="1:4" ht="21.75" customHeight="1" x14ac:dyDescent="0.3">
      <c r="A19" s="62" t="s">
        <v>25</v>
      </c>
      <c r="B19" s="69" t="s">
        <v>105</v>
      </c>
      <c r="C19" s="69"/>
      <c r="D19" s="69"/>
    </row>
    <row r="20" spans="1:4" ht="21.75" customHeight="1" x14ac:dyDescent="0.3">
      <c r="A20" s="63" t="s">
        <v>27</v>
      </c>
      <c r="B20" s="67" t="s">
        <v>106</v>
      </c>
      <c r="C20" s="67"/>
      <c r="D20" s="67"/>
    </row>
  </sheetData>
  <mergeCells count="6">
    <mergeCell ref="B20:D20"/>
    <mergeCell ref="A1:D1"/>
    <mergeCell ref="A2:D2"/>
    <mergeCell ref="A17:D17"/>
    <mergeCell ref="B18:D18"/>
    <mergeCell ref="B19:D19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Scoring Weights</vt:lpstr>
      <vt:lpstr>Supplier Data</vt:lpstr>
      <vt:lpstr>Supplier Scorecard</vt:lpstr>
      <vt:lpstr>KPI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Ijas Ahamed</cp:lastModifiedBy>
  <cp:revision>1</cp:revision>
  <dcterms:created xsi:type="dcterms:W3CDTF">2026-03-27T03:39:30Z</dcterms:created>
  <dcterms:modified xsi:type="dcterms:W3CDTF">2026-03-27T05:50:14Z</dcterms:modified>
  <dc:language>en-US</dc:language>
</cp:coreProperties>
</file>